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4"/>
  <workbookPr defaultThemeVersion="166925"/>
  <mc:AlternateContent xmlns:mc="http://schemas.openxmlformats.org/markup-compatibility/2006">
    <mc:Choice Requires="x15">
      <x15ac:absPath xmlns:x15ac="http://schemas.microsoft.com/office/spreadsheetml/2010/11/ac" url="https://d.docs.live.net/c1c48c2eeca591ae/Dokumente/Privat/06_Haus_u_Bau/3003_Gablitz_Beethoveng_28/Glashaus_Garten/"/>
    </mc:Choice>
  </mc:AlternateContent>
  <xr:revisionPtr revIDLastSave="15" documentId="8_{153C67BA-3DC3-4FEF-98BB-BBDBEDF792A3}" xr6:coauthVersionLast="47" xr6:coauthVersionMax="47" xr10:uidLastSave="{D31C62CF-82A0-4D9D-8A52-BD1480CF382E}"/>
  <bookViews>
    <workbookView xWindow="3170" yWindow="820" windowWidth="28330" windowHeight="13320" activeTab="2" xr2:uid="{C68AEF9B-7BF4-4DB3-9EEB-129894BFECBC}"/>
  </bookViews>
  <sheets>
    <sheet name="Übersicht_Vorkultur" sheetId="4" r:id="rId1"/>
    <sheet name="Übersicht_Auspflanzung" sheetId="5" r:id="rId2"/>
    <sheet name="Bepflanzungsschema" sheetId="1" r:id="rId3"/>
    <sheet name="Pflanzenkatalog" sheetId="2" r:id="rId4"/>
    <sheet name="Gefäße_u_Plätze" sheetId="3" r:id="rId5"/>
    <sheet name="Gruppen" sheetId="6" r:id="rId6"/>
    <sheet name="Gießblatt" sheetId="7" r:id="rId7"/>
  </sheets>
  <definedNames>
    <definedName name="_xlnm._FilterDatabase" localSheetId="2" hidden="1">Bepflanzungsschema!$A$1:$AF$87</definedName>
    <definedName name="_xlnm._FilterDatabase" localSheetId="6" hidden="1">Gießblatt!$A$2:$B$85</definedName>
    <definedName name="_xlnm._FilterDatabase" localSheetId="3" hidden="1">Pflanzenkatalog!$A$1:$T$390</definedName>
  </definedNames>
  <calcPr calcId="191028"/>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7" i="1" l="1"/>
  <c r="AE7" i="1"/>
  <c r="AD7" i="1"/>
  <c r="AC7" i="1"/>
  <c r="AB7" i="1"/>
  <c r="AA7" i="1"/>
  <c r="Z7" i="1"/>
  <c r="Y7" i="1"/>
  <c r="X7" i="1"/>
  <c r="W7" i="1"/>
  <c r="V7" i="1"/>
  <c r="U7" i="1"/>
  <c r="T7" i="1"/>
  <c r="S7" i="1"/>
  <c r="R7" i="1"/>
  <c r="Q7" i="1"/>
  <c r="P7" i="1"/>
  <c r="O7" i="1"/>
  <c r="N7" i="1"/>
  <c r="AF31" i="1"/>
  <c r="AE31" i="1"/>
  <c r="AD31" i="1"/>
  <c r="AC31" i="1"/>
  <c r="AB31" i="1"/>
  <c r="AA31" i="1"/>
  <c r="Z31" i="1"/>
  <c r="Y31" i="1"/>
  <c r="X31" i="1"/>
  <c r="W31" i="1"/>
  <c r="V31" i="1"/>
  <c r="U31" i="1"/>
  <c r="T31" i="1"/>
  <c r="S31" i="1"/>
  <c r="R31" i="1"/>
  <c r="Q31" i="1"/>
  <c r="P31" i="1"/>
  <c r="O31" i="1"/>
  <c r="N31" i="1"/>
  <c r="AF63" i="1"/>
  <c r="AE63" i="1"/>
  <c r="AD63" i="1"/>
  <c r="AC63" i="1"/>
  <c r="AB63" i="1"/>
  <c r="AA63" i="1"/>
  <c r="Z63" i="1"/>
  <c r="Y63" i="1"/>
  <c r="X63" i="1"/>
  <c r="W63" i="1"/>
  <c r="V63" i="1"/>
  <c r="U63" i="1"/>
  <c r="T63" i="1"/>
  <c r="S63" i="1"/>
  <c r="R63" i="1"/>
  <c r="Q63" i="1"/>
  <c r="P63" i="1"/>
  <c r="O63" i="1"/>
  <c r="N63" i="1"/>
  <c r="AF69" i="1"/>
  <c r="AE69" i="1"/>
  <c r="AD69" i="1"/>
  <c r="AC69" i="1"/>
  <c r="AB69" i="1"/>
  <c r="AA69" i="1"/>
  <c r="Z69" i="1"/>
  <c r="Y69" i="1"/>
  <c r="X69" i="1"/>
  <c r="W69" i="1"/>
  <c r="V69" i="1"/>
  <c r="U69" i="1"/>
  <c r="T69" i="1"/>
  <c r="S69" i="1"/>
  <c r="R69" i="1"/>
  <c r="Q69" i="1"/>
  <c r="P69" i="1"/>
  <c r="O69" i="1"/>
  <c r="N69" i="1"/>
  <c r="AF14" i="1"/>
  <c r="AE14" i="1"/>
  <c r="AD14" i="1"/>
  <c r="AC14" i="1"/>
  <c r="AB14" i="1"/>
  <c r="AA14" i="1"/>
  <c r="Z14" i="1"/>
  <c r="Y14" i="1"/>
  <c r="X14" i="1"/>
  <c r="W14" i="1"/>
  <c r="V14" i="1"/>
  <c r="U14" i="1"/>
  <c r="T14" i="1"/>
  <c r="S14" i="1"/>
  <c r="R14" i="1"/>
  <c r="Q14" i="1"/>
  <c r="P14" i="1"/>
  <c r="O14" i="1"/>
  <c r="N14" i="1"/>
  <c r="AF24" i="1"/>
  <c r="AE24" i="1"/>
  <c r="AD24" i="1"/>
  <c r="AC24" i="1"/>
  <c r="AB24" i="1"/>
  <c r="AA24" i="1"/>
  <c r="Z24" i="1"/>
  <c r="Y24" i="1"/>
  <c r="X24" i="1"/>
  <c r="W24" i="1"/>
  <c r="V24" i="1"/>
  <c r="U24" i="1"/>
  <c r="T24" i="1"/>
  <c r="S24" i="1"/>
  <c r="R24" i="1"/>
  <c r="Q24" i="1"/>
  <c r="P24" i="1"/>
  <c r="O24" i="1"/>
  <c r="N24" i="1"/>
  <c r="AF4" i="1"/>
  <c r="AE4" i="1"/>
  <c r="AD4" i="1"/>
  <c r="AC4" i="1"/>
  <c r="AB4" i="1"/>
  <c r="AA4" i="1"/>
  <c r="Z4" i="1"/>
  <c r="Y4" i="1"/>
  <c r="X4" i="1"/>
  <c r="W4" i="1"/>
  <c r="V4" i="1"/>
  <c r="U4" i="1"/>
  <c r="T4" i="1"/>
  <c r="S4" i="1"/>
  <c r="R4" i="1"/>
  <c r="Q4" i="1"/>
  <c r="P4" i="1"/>
  <c r="O4" i="1"/>
  <c r="N4" i="1"/>
  <c r="AF22" i="1"/>
  <c r="AE22" i="1"/>
  <c r="AD22" i="1"/>
  <c r="AC22" i="1"/>
  <c r="AB22" i="1"/>
  <c r="AA22" i="1"/>
  <c r="Z22" i="1"/>
  <c r="Y22" i="1"/>
  <c r="X22" i="1"/>
  <c r="W22" i="1"/>
  <c r="V22" i="1"/>
  <c r="U22" i="1"/>
  <c r="T22" i="1"/>
  <c r="S22" i="1"/>
  <c r="R22" i="1"/>
  <c r="Q22" i="1"/>
  <c r="P22" i="1"/>
  <c r="O22" i="1"/>
  <c r="N22" i="1"/>
  <c r="AF3" i="1"/>
  <c r="AE3" i="1"/>
  <c r="AD3" i="1"/>
  <c r="AC3" i="1"/>
  <c r="AB3" i="1"/>
  <c r="AA3" i="1"/>
  <c r="Z3" i="1"/>
  <c r="Y3" i="1"/>
  <c r="X3" i="1"/>
  <c r="W3" i="1"/>
  <c r="V3" i="1"/>
  <c r="U3" i="1"/>
  <c r="T3" i="1"/>
  <c r="S3" i="1"/>
  <c r="R3" i="1"/>
  <c r="Q3" i="1"/>
  <c r="P3" i="1"/>
  <c r="O3" i="1"/>
  <c r="N3" i="1"/>
  <c r="N5" i="1"/>
  <c r="O5" i="1"/>
  <c r="P5" i="1"/>
  <c r="Q5" i="1"/>
  <c r="R5" i="1"/>
  <c r="S5" i="1"/>
  <c r="T5" i="1"/>
  <c r="U5" i="1"/>
  <c r="V5" i="1"/>
  <c r="W5" i="1"/>
  <c r="X5" i="1"/>
  <c r="Y5" i="1"/>
  <c r="Z5" i="1"/>
  <c r="AA5" i="1"/>
  <c r="AB5" i="1"/>
  <c r="AC5" i="1"/>
  <c r="AD5" i="1"/>
  <c r="AE5" i="1"/>
  <c r="AF5" i="1"/>
  <c r="AF15" i="1"/>
  <c r="AE15" i="1"/>
  <c r="AD15" i="1"/>
  <c r="AC15" i="1"/>
  <c r="AB15" i="1"/>
  <c r="AA15" i="1"/>
  <c r="Z15" i="1"/>
  <c r="Y15" i="1"/>
  <c r="X15" i="1"/>
  <c r="W15" i="1"/>
  <c r="V15" i="1"/>
  <c r="U15" i="1"/>
  <c r="T15" i="1"/>
  <c r="S15" i="1"/>
  <c r="R15" i="1"/>
  <c r="Q15" i="1"/>
  <c r="P15" i="1"/>
  <c r="O15" i="1"/>
  <c r="N15" i="1"/>
  <c r="AF64" i="1"/>
  <c r="AE64" i="1"/>
  <c r="AD64" i="1"/>
  <c r="AC64" i="1"/>
  <c r="AB64" i="1"/>
  <c r="AA64" i="1"/>
  <c r="Z64" i="1"/>
  <c r="Y64" i="1"/>
  <c r="X64" i="1"/>
  <c r="W64" i="1"/>
  <c r="V64" i="1"/>
  <c r="U64" i="1"/>
  <c r="T64" i="1"/>
  <c r="S64" i="1"/>
  <c r="R64" i="1"/>
  <c r="Q64" i="1"/>
  <c r="P64" i="1"/>
  <c r="O64" i="1"/>
  <c r="N64" i="1"/>
  <c r="AF62" i="1"/>
  <c r="AE62" i="1"/>
  <c r="AD62" i="1"/>
  <c r="AC62" i="1"/>
  <c r="AB62" i="1"/>
  <c r="AA62" i="1"/>
  <c r="Z62" i="1"/>
  <c r="Y62" i="1"/>
  <c r="X62" i="1"/>
  <c r="W62" i="1"/>
  <c r="V62" i="1"/>
  <c r="U62" i="1"/>
  <c r="T62" i="1"/>
  <c r="S62" i="1"/>
  <c r="R62" i="1"/>
  <c r="Q62" i="1"/>
  <c r="P62" i="1"/>
  <c r="O62" i="1"/>
  <c r="N62" i="1"/>
  <c r="AF61" i="1"/>
  <c r="AE61" i="1"/>
  <c r="AD61" i="1"/>
  <c r="AC61" i="1"/>
  <c r="AB61" i="1"/>
  <c r="AA61" i="1"/>
  <c r="Z61" i="1"/>
  <c r="Y61" i="1"/>
  <c r="X61" i="1"/>
  <c r="W61" i="1"/>
  <c r="V61" i="1"/>
  <c r="U61" i="1"/>
  <c r="T61" i="1"/>
  <c r="S61" i="1"/>
  <c r="R61" i="1"/>
  <c r="Q61" i="1"/>
  <c r="P61" i="1"/>
  <c r="O61" i="1"/>
  <c r="N61" i="1"/>
  <c r="AF60" i="1"/>
  <c r="AE60" i="1"/>
  <c r="AD60" i="1"/>
  <c r="AC60" i="1"/>
  <c r="AB60" i="1"/>
  <c r="AA60" i="1"/>
  <c r="Z60" i="1"/>
  <c r="Y60" i="1"/>
  <c r="X60" i="1"/>
  <c r="W60" i="1"/>
  <c r="V60" i="1"/>
  <c r="U60" i="1"/>
  <c r="T60" i="1"/>
  <c r="S60" i="1"/>
  <c r="R60" i="1"/>
  <c r="Q60" i="1"/>
  <c r="P60" i="1"/>
  <c r="O60" i="1"/>
  <c r="N60" i="1"/>
  <c r="AF67" i="1"/>
  <c r="AE67" i="1"/>
  <c r="AD67" i="1"/>
  <c r="AC67" i="1"/>
  <c r="AB67" i="1"/>
  <c r="AA67" i="1"/>
  <c r="Z67" i="1"/>
  <c r="Y67" i="1"/>
  <c r="X67" i="1"/>
  <c r="W67" i="1"/>
  <c r="V67" i="1"/>
  <c r="U67" i="1"/>
  <c r="T67" i="1"/>
  <c r="S67" i="1"/>
  <c r="R67" i="1"/>
  <c r="Q67" i="1"/>
  <c r="P67" i="1"/>
  <c r="O67" i="1"/>
  <c r="N67" i="1"/>
  <c r="AF49" i="1"/>
  <c r="AE49" i="1"/>
  <c r="AD49" i="1"/>
  <c r="AC49" i="1"/>
  <c r="AB49" i="1"/>
  <c r="AA49" i="1"/>
  <c r="Z49" i="1"/>
  <c r="Y49" i="1"/>
  <c r="X49" i="1"/>
  <c r="W49" i="1"/>
  <c r="V49" i="1"/>
  <c r="U49" i="1"/>
  <c r="T49" i="1"/>
  <c r="S49" i="1"/>
  <c r="R49" i="1"/>
  <c r="Q49" i="1"/>
  <c r="P49" i="1"/>
  <c r="O49" i="1"/>
  <c r="N49" i="1"/>
  <c r="AF50" i="1"/>
  <c r="AE50" i="1"/>
  <c r="AD50" i="1"/>
  <c r="AC50" i="1"/>
  <c r="AB50" i="1"/>
  <c r="AA50" i="1"/>
  <c r="Z50" i="1"/>
  <c r="Y50" i="1"/>
  <c r="X50" i="1"/>
  <c r="W50" i="1"/>
  <c r="V50" i="1"/>
  <c r="U50" i="1"/>
  <c r="T50" i="1"/>
  <c r="S50" i="1"/>
  <c r="R50" i="1"/>
  <c r="Q50" i="1"/>
  <c r="P50" i="1"/>
  <c r="O50" i="1"/>
  <c r="N50" i="1"/>
  <c r="AF55" i="1"/>
  <c r="AE55" i="1"/>
  <c r="AD55" i="1"/>
  <c r="AC55" i="1"/>
  <c r="AB55" i="1"/>
  <c r="AA55" i="1"/>
  <c r="Z55" i="1"/>
  <c r="Y55" i="1"/>
  <c r="X55" i="1"/>
  <c r="W55" i="1"/>
  <c r="V55" i="1"/>
  <c r="U55" i="1"/>
  <c r="T55" i="1"/>
  <c r="S55" i="1"/>
  <c r="R55" i="1"/>
  <c r="Q55" i="1"/>
  <c r="P55" i="1"/>
  <c r="O55" i="1"/>
  <c r="N55" i="1"/>
  <c r="AF56" i="1"/>
  <c r="AE56" i="1"/>
  <c r="AD56" i="1"/>
  <c r="AC56" i="1"/>
  <c r="AB56" i="1"/>
  <c r="AA56" i="1"/>
  <c r="Z56" i="1"/>
  <c r="Y56" i="1"/>
  <c r="X56" i="1"/>
  <c r="W56" i="1"/>
  <c r="V56" i="1"/>
  <c r="U56" i="1"/>
  <c r="T56" i="1"/>
  <c r="S56" i="1"/>
  <c r="R56" i="1"/>
  <c r="Q56" i="1"/>
  <c r="P56" i="1"/>
  <c r="O56" i="1"/>
  <c r="N56" i="1"/>
  <c r="AF41" i="1"/>
  <c r="AE41" i="1"/>
  <c r="AD41" i="1"/>
  <c r="AC41" i="1"/>
  <c r="AB41" i="1"/>
  <c r="AA41" i="1"/>
  <c r="Z41" i="1"/>
  <c r="Y41" i="1"/>
  <c r="X41" i="1"/>
  <c r="W41" i="1"/>
  <c r="V41" i="1"/>
  <c r="U41" i="1"/>
  <c r="T41" i="1"/>
  <c r="S41" i="1"/>
  <c r="R41" i="1"/>
  <c r="Q41" i="1"/>
  <c r="P41" i="1"/>
  <c r="O41" i="1"/>
  <c r="N41" i="1"/>
  <c r="AF40" i="1"/>
  <c r="AE40" i="1"/>
  <c r="AD40" i="1"/>
  <c r="AC40" i="1"/>
  <c r="AB40" i="1"/>
  <c r="AA40" i="1"/>
  <c r="Z40" i="1"/>
  <c r="Y40" i="1"/>
  <c r="X40" i="1"/>
  <c r="W40" i="1"/>
  <c r="V40" i="1"/>
  <c r="U40" i="1"/>
  <c r="T40" i="1"/>
  <c r="S40" i="1"/>
  <c r="R40" i="1"/>
  <c r="Q40" i="1"/>
  <c r="P40" i="1"/>
  <c r="O40" i="1"/>
  <c r="N40" i="1"/>
  <c r="AF18" i="1"/>
  <c r="AE18" i="1"/>
  <c r="AD18" i="1"/>
  <c r="AC18" i="1"/>
  <c r="AB18" i="1"/>
  <c r="AA18" i="1"/>
  <c r="Z18" i="1"/>
  <c r="Y18" i="1"/>
  <c r="X18" i="1"/>
  <c r="W18" i="1"/>
  <c r="V18" i="1"/>
  <c r="U18" i="1"/>
  <c r="T18" i="1"/>
  <c r="S18" i="1"/>
  <c r="R18" i="1"/>
  <c r="Q18" i="1"/>
  <c r="P18" i="1"/>
  <c r="O18" i="1"/>
  <c r="N18" i="1"/>
  <c r="AF48" i="1"/>
  <c r="AE48" i="1"/>
  <c r="AD48" i="1"/>
  <c r="AC48" i="1"/>
  <c r="AB48" i="1"/>
  <c r="AA48" i="1"/>
  <c r="Z48" i="1"/>
  <c r="Y48" i="1"/>
  <c r="X48" i="1"/>
  <c r="W48" i="1"/>
  <c r="V48" i="1"/>
  <c r="U48" i="1"/>
  <c r="T48" i="1"/>
  <c r="S48" i="1"/>
  <c r="R48" i="1"/>
  <c r="Q48" i="1"/>
  <c r="P48" i="1"/>
  <c r="O48" i="1"/>
  <c r="N48" i="1"/>
  <c r="AF72" i="1"/>
  <c r="AE72" i="1"/>
  <c r="AD72" i="1"/>
  <c r="AC72" i="1"/>
  <c r="AB72" i="1"/>
  <c r="AA72" i="1"/>
  <c r="Z72" i="1"/>
  <c r="Y72" i="1"/>
  <c r="X72" i="1"/>
  <c r="W72" i="1"/>
  <c r="V72" i="1"/>
  <c r="U72" i="1"/>
  <c r="T72" i="1"/>
  <c r="S72" i="1"/>
  <c r="R72" i="1"/>
  <c r="Q72" i="1"/>
  <c r="P72" i="1"/>
  <c r="O72" i="1"/>
  <c r="N72" i="1"/>
  <c r="AF35" i="1"/>
  <c r="AE35" i="1"/>
  <c r="AD35" i="1"/>
  <c r="AC35" i="1"/>
  <c r="AB35" i="1"/>
  <c r="AA35" i="1"/>
  <c r="Z35" i="1"/>
  <c r="Y35" i="1"/>
  <c r="X35" i="1"/>
  <c r="W35" i="1"/>
  <c r="V35" i="1"/>
  <c r="U35" i="1"/>
  <c r="T35" i="1"/>
  <c r="S35" i="1"/>
  <c r="R35" i="1"/>
  <c r="Q35" i="1"/>
  <c r="P35" i="1"/>
  <c r="O35" i="1"/>
  <c r="N35" i="1"/>
  <c r="AF29" i="1"/>
  <c r="AE29" i="1"/>
  <c r="AD29" i="1"/>
  <c r="AC29" i="1"/>
  <c r="AB29" i="1"/>
  <c r="AA29" i="1"/>
  <c r="Z29" i="1"/>
  <c r="Y29" i="1"/>
  <c r="X29" i="1"/>
  <c r="W29" i="1"/>
  <c r="V29" i="1"/>
  <c r="U29" i="1"/>
  <c r="T29" i="1"/>
  <c r="S29" i="1"/>
  <c r="R29" i="1"/>
  <c r="Q29" i="1"/>
  <c r="P29" i="1"/>
  <c r="O29" i="1"/>
  <c r="N29" i="1"/>
  <c r="AF13" i="1"/>
  <c r="AE13" i="1"/>
  <c r="AD13" i="1"/>
  <c r="AC13" i="1"/>
  <c r="AB13" i="1"/>
  <c r="AA13" i="1"/>
  <c r="Z13" i="1"/>
  <c r="Y13" i="1"/>
  <c r="X13" i="1"/>
  <c r="W13" i="1"/>
  <c r="V13" i="1"/>
  <c r="U13" i="1"/>
  <c r="T13" i="1"/>
  <c r="S13" i="1"/>
  <c r="R13" i="1"/>
  <c r="Q13" i="1"/>
  <c r="P13" i="1"/>
  <c r="O13" i="1"/>
  <c r="N13" i="1"/>
  <c r="AF9" i="1"/>
  <c r="AE9" i="1"/>
  <c r="AD9" i="1"/>
  <c r="AC9" i="1"/>
  <c r="AB9" i="1"/>
  <c r="AA9" i="1"/>
  <c r="Z9" i="1"/>
  <c r="Y9" i="1"/>
  <c r="X9" i="1"/>
  <c r="W9" i="1"/>
  <c r="V9" i="1"/>
  <c r="U9" i="1"/>
  <c r="T9" i="1"/>
  <c r="S9" i="1"/>
  <c r="R9" i="1"/>
  <c r="Q9" i="1"/>
  <c r="P9" i="1"/>
  <c r="O9" i="1"/>
  <c r="N9" i="1"/>
  <c r="AE6" i="1"/>
  <c r="AF6" i="1"/>
  <c r="AE8" i="1"/>
  <c r="AF8" i="1"/>
  <c r="AE10" i="1"/>
  <c r="AF10" i="1"/>
  <c r="AE11" i="1"/>
  <c r="AF11" i="1"/>
  <c r="AE12" i="1"/>
  <c r="AF12" i="1"/>
  <c r="AE16" i="1"/>
  <c r="AF16" i="1"/>
  <c r="AE17" i="1"/>
  <c r="AF17" i="1"/>
  <c r="AE19" i="1"/>
  <c r="AF19" i="1"/>
  <c r="AE20" i="1"/>
  <c r="AF20" i="1"/>
  <c r="AE21" i="1"/>
  <c r="AF21" i="1"/>
  <c r="AE23" i="1"/>
  <c r="AF23" i="1"/>
  <c r="AE25" i="1"/>
  <c r="AF25" i="1"/>
  <c r="AE26" i="1"/>
  <c r="AF26" i="1"/>
  <c r="AE27" i="1"/>
  <c r="AF27" i="1"/>
  <c r="AE28" i="1"/>
  <c r="AF28" i="1"/>
  <c r="AE30" i="1"/>
  <c r="AF30" i="1"/>
  <c r="AE32" i="1"/>
  <c r="AF32" i="1"/>
  <c r="AE33" i="1"/>
  <c r="AF33" i="1"/>
  <c r="AE34" i="1"/>
  <c r="AF34" i="1"/>
  <c r="AE36" i="1"/>
  <c r="AF36" i="1"/>
  <c r="AE37" i="1"/>
  <c r="AF37" i="1"/>
  <c r="AE38" i="1"/>
  <c r="AF38" i="1"/>
  <c r="AE39" i="1"/>
  <c r="AF39" i="1"/>
  <c r="AE43" i="1"/>
  <c r="AF43" i="1"/>
  <c r="AE44" i="1"/>
  <c r="AF44" i="1"/>
  <c r="AE42" i="1"/>
  <c r="AF42" i="1"/>
  <c r="AE45" i="1"/>
  <c r="AF45" i="1"/>
  <c r="AE46" i="1"/>
  <c r="AF46" i="1"/>
  <c r="AE47" i="1"/>
  <c r="AF47" i="1"/>
  <c r="AE57" i="1"/>
  <c r="AF57" i="1"/>
  <c r="AE52" i="1"/>
  <c r="AF52" i="1"/>
  <c r="AE53" i="1"/>
  <c r="AF53" i="1"/>
  <c r="AE54" i="1"/>
  <c r="AF54" i="1"/>
  <c r="AE51" i="1"/>
  <c r="AF51" i="1"/>
  <c r="AE65" i="1"/>
  <c r="AF65" i="1"/>
  <c r="AE66" i="1"/>
  <c r="AF66" i="1"/>
  <c r="AE58" i="1"/>
  <c r="AF58" i="1"/>
  <c r="AE59" i="1"/>
  <c r="AF59" i="1"/>
  <c r="AE68" i="1"/>
  <c r="AF68" i="1"/>
  <c r="AE70" i="1"/>
  <c r="AF70" i="1"/>
  <c r="AE71" i="1"/>
  <c r="AF71" i="1"/>
  <c r="AE73" i="1"/>
  <c r="AF73" i="1"/>
  <c r="AE74" i="1"/>
  <c r="AF74" i="1"/>
  <c r="AE75" i="1"/>
  <c r="AF75" i="1"/>
  <c r="AE76" i="1"/>
  <c r="AF76" i="1"/>
  <c r="AE77" i="1"/>
  <c r="AF77" i="1"/>
  <c r="AE78" i="1"/>
  <c r="AF78" i="1"/>
  <c r="AE79" i="1"/>
  <c r="AF79" i="1"/>
  <c r="AE80" i="1"/>
  <c r="AF80" i="1"/>
  <c r="AE81" i="1"/>
  <c r="AF81" i="1"/>
  <c r="AE82" i="1"/>
  <c r="AF82" i="1"/>
  <c r="AE83" i="1"/>
  <c r="AF83" i="1"/>
  <c r="AE84" i="1"/>
  <c r="AF84" i="1"/>
  <c r="AE85" i="1"/>
  <c r="AF85" i="1"/>
  <c r="AE86" i="1"/>
  <c r="AF86" i="1"/>
  <c r="AE87" i="1"/>
  <c r="AF87" i="1"/>
  <c r="AF2" i="1"/>
  <c r="AE2" i="1"/>
  <c r="G21" i="3"/>
  <c r="G20" i="3"/>
  <c r="E19" i="3"/>
  <c r="G19" i="3"/>
  <c r="E18" i="3"/>
  <c r="G18" i="3"/>
  <c r="E17" i="3"/>
  <c r="G17" i="3"/>
  <c r="G23" i="3"/>
  <c r="AD71" i="1"/>
  <c r="AC71" i="1"/>
  <c r="AB71" i="1"/>
  <c r="AA71" i="1"/>
  <c r="Z71" i="1"/>
  <c r="Y71" i="1"/>
  <c r="X71" i="1"/>
  <c r="W71" i="1"/>
  <c r="V71" i="1"/>
  <c r="U71" i="1"/>
  <c r="T71" i="1"/>
  <c r="S71" i="1"/>
  <c r="R71" i="1"/>
  <c r="Q71" i="1"/>
  <c r="P71" i="1"/>
  <c r="O71" i="1"/>
  <c r="N71" i="1"/>
  <c r="AD53" i="1"/>
  <c r="AC53" i="1"/>
  <c r="AB53" i="1"/>
  <c r="AA53" i="1"/>
  <c r="Z53" i="1"/>
  <c r="Y53" i="1"/>
  <c r="X53" i="1"/>
  <c r="W53" i="1"/>
  <c r="V53" i="1"/>
  <c r="U53" i="1"/>
  <c r="T53" i="1"/>
  <c r="S53" i="1"/>
  <c r="R53" i="1"/>
  <c r="Q53" i="1"/>
  <c r="P53" i="1"/>
  <c r="O53" i="1"/>
  <c r="N53" i="1"/>
  <c r="AD30" i="1"/>
  <c r="AC30" i="1"/>
  <c r="AB30" i="1"/>
  <c r="AA30" i="1"/>
  <c r="Z30" i="1"/>
  <c r="Y30" i="1"/>
  <c r="X30" i="1"/>
  <c r="W30" i="1"/>
  <c r="V30" i="1"/>
  <c r="U30" i="1"/>
  <c r="T30" i="1"/>
  <c r="S30" i="1"/>
  <c r="R30" i="1"/>
  <c r="Q30" i="1"/>
  <c r="P30" i="1"/>
  <c r="O30" i="1"/>
  <c r="N30" i="1"/>
  <c r="AD11" i="1"/>
  <c r="AC11" i="1"/>
  <c r="AB11" i="1"/>
  <c r="AA11" i="1"/>
  <c r="Z11" i="1"/>
  <c r="Y11" i="1"/>
  <c r="X11" i="1"/>
  <c r="W11" i="1"/>
  <c r="V11" i="1"/>
  <c r="U11" i="1"/>
  <c r="T11" i="1"/>
  <c r="S11" i="1"/>
  <c r="R11" i="1"/>
  <c r="Q11" i="1"/>
  <c r="P11" i="1"/>
  <c r="O11" i="1"/>
  <c r="N11" i="1"/>
  <c r="AD75" i="1"/>
  <c r="AC75" i="1"/>
  <c r="AB75" i="1"/>
  <c r="AA75" i="1"/>
  <c r="Z75" i="1"/>
  <c r="Y75" i="1"/>
  <c r="X75" i="1"/>
  <c r="W75" i="1"/>
  <c r="V75" i="1"/>
  <c r="U75" i="1"/>
  <c r="T75" i="1"/>
  <c r="S75" i="1"/>
  <c r="R75" i="1"/>
  <c r="Q75" i="1"/>
  <c r="P75" i="1"/>
  <c r="O75" i="1"/>
  <c r="N75" i="1"/>
  <c r="AB59" i="1"/>
  <c r="R59" i="1"/>
  <c r="AB58" i="1"/>
  <c r="R58" i="1"/>
  <c r="AD66" i="1"/>
  <c r="AC66" i="1"/>
  <c r="AB66" i="1"/>
  <c r="AA66" i="1"/>
  <c r="Z66" i="1"/>
  <c r="Y66" i="1"/>
  <c r="X66" i="1"/>
  <c r="W66" i="1"/>
  <c r="V66" i="1"/>
  <c r="U66" i="1"/>
  <c r="T66" i="1"/>
  <c r="S66" i="1"/>
  <c r="R66" i="1"/>
  <c r="Q66" i="1"/>
  <c r="P66" i="1"/>
  <c r="O66" i="1"/>
  <c r="AB65" i="1"/>
  <c r="R65" i="1"/>
  <c r="AB68" i="1"/>
  <c r="R68" i="1"/>
  <c r="AB70" i="1"/>
  <c r="R70" i="1"/>
  <c r="AD59" i="1"/>
  <c r="AC59" i="1"/>
  <c r="AA59" i="1"/>
  <c r="Z59" i="1"/>
  <c r="Y59" i="1"/>
  <c r="X59" i="1"/>
  <c r="W59" i="1"/>
  <c r="V59" i="1"/>
  <c r="U59" i="1"/>
  <c r="T59" i="1"/>
  <c r="S59" i="1"/>
  <c r="Q59" i="1"/>
  <c r="P59" i="1"/>
  <c r="O59" i="1"/>
  <c r="N59" i="1"/>
  <c r="AD58" i="1"/>
  <c r="AC58" i="1"/>
  <c r="AA58" i="1"/>
  <c r="Z58" i="1"/>
  <c r="Y58" i="1"/>
  <c r="X58" i="1"/>
  <c r="W58" i="1"/>
  <c r="V58" i="1"/>
  <c r="U58" i="1"/>
  <c r="T58" i="1"/>
  <c r="S58" i="1"/>
  <c r="Q58" i="1"/>
  <c r="P58" i="1"/>
  <c r="O58" i="1"/>
  <c r="N58" i="1"/>
  <c r="AD65" i="1"/>
  <c r="AC65" i="1"/>
  <c r="AA65" i="1"/>
  <c r="Z65" i="1"/>
  <c r="Y65" i="1"/>
  <c r="X65" i="1"/>
  <c r="W65" i="1"/>
  <c r="V65" i="1"/>
  <c r="U65" i="1"/>
  <c r="T65" i="1"/>
  <c r="S65" i="1"/>
  <c r="Q65" i="1"/>
  <c r="P65" i="1"/>
  <c r="O65" i="1"/>
  <c r="AD68" i="1"/>
  <c r="AC68" i="1"/>
  <c r="AA68" i="1"/>
  <c r="Z68" i="1"/>
  <c r="Y68" i="1"/>
  <c r="X68" i="1"/>
  <c r="W68" i="1"/>
  <c r="V68" i="1"/>
  <c r="U68" i="1"/>
  <c r="T68" i="1"/>
  <c r="S68" i="1"/>
  <c r="Q68" i="1"/>
  <c r="P68" i="1"/>
  <c r="O68" i="1"/>
  <c r="N68" i="1"/>
  <c r="AD70" i="1"/>
  <c r="AC70" i="1"/>
  <c r="AA70" i="1"/>
  <c r="Z70" i="1"/>
  <c r="Y70" i="1"/>
  <c r="X70" i="1"/>
  <c r="W70" i="1"/>
  <c r="V70" i="1"/>
  <c r="U70" i="1"/>
  <c r="T70" i="1"/>
  <c r="S70" i="1"/>
  <c r="Q70" i="1"/>
  <c r="P70" i="1"/>
  <c r="O70" i="1"/>
  <c r="N70" i="1"/>
  <c r="AD27" i="1"/>
  <c r="AC27" i="1"/>
  <c r="AB27" i="1"/>
  <c r="AA27" i="1"/>
  <c r="Z27" i="1"/>
  <c r="Y27" i="1"/>
  <c r="X27" i="1"/>
  <c r="W27" i="1"/>
  <c r="V27" i="1"/>
  <c r="U27" i="1"/>
  <c r="T27" i="1"/>
  <c r="S27" i="1"/>
  <c r="R27" i="1"/>
  <c r="Q27" i="1"/>
  <c r="P27" i="1"/>
  <c r="O27" i="1"/>
  <c r="N27" i="1"/>
  <c r="AD10" i="1"/>
  <c r="AC10" i="1"/>
  <c r="AB10" i="1"/>
  <c r="AA10" i="1"/>
  <c r="Z10" i="1"/>
  <c r="Y10" i="1"/>
  <c r="X10" i="1"/>
  <c r="W10" i="1"/>
  <c r="V10" i="1"/>
  <c r="U10" i="1"/>
  <c r="T10" i="1"/>
  <c r="S10" i="1"/>
  <c r="R10" i="1"/>
  <c r="Q10" i="1"/>
  <c r="P10" i="1"/>
  <c r="O10" i="1"/>
  <c r="N10" i="1"/>
  <c r="N47" i="1"/>
  <c r="O47" i="1"/>
  <c r="P47" i="1"/>
  <c r="Q47" i="1"/>
  <c r="R47" i="1"/>
  <c r="S47" i="1"/>
  <c r="T47" i="1"/>
  <c r="U47" i="1"/>
  <c r="V47" i="1"/>
  <c r="W47" i="1"/>
  <c r="X47" i="1"/>
  <c r="Y47" i="1"/>
  <c r="Z47" i="1"/>
  <c r="AA47" i="1"/>
  <c r="AB47" i="1"/>
  <c r="AC47" i="1"/>
  <c r="AD47" i="1"/>
  <c r="N45" i="1"/>
  <c r="O45" i="1"/>
  <c r="P45" i="1"/>
  <c r="Q45" i="1"/>
  <c r="R45" i="1"/>
  <c r="S45" i="1"/>
  <c r="T45" i="1"/>
  <c r="U45" i="1"/>
  <c r="V45" i="1"/>
  <c r="W45" i="1"/>
  <c r="X45" i="1"/>
  <c r="Y45" i="1"/>
  <c r="Z45" i="1"/>
  <c r="AA45" i="1"/>
  <c r="AB45" i="1"/>
  <c r="AC45" i="1"/>
  <c r="AD45" i="1"/>
  <c r="N43" i="1"/>
  <c r="O43" i="1"/>
  <c r="P43" i="1"/>
  <c r="Q43" i="1"/>
  <c r="R43" i="1"/>
  <c r="S43" i="1"/>
  <c r="T43" i="1"/>
  <c r="U43" i="1"/>
  <c r="V43" i="1"/>
  <c r="W43" i="1"/>
  <c r="X43" i="1"/>
  <c r="Y43" i="1"/>
  <c r="Z43" i="1"/>
  <c r="AA43" i="1"/>
  <c r="AB43" i="1"/>
  <c r="AC43" i="1"/>
  <c r="AD43" i="1"/>
  <c r="N44" i="1"/>
  <c r="O44" i="1"/>
  <c r="P44" i="1"/>
  <c r="Q44" i="1"/>
  <c r="R44" i="1"/>
  <c r="S44" i="1"/>
  <c r="T44" i="1"/>
  <c r="U44" i="1"/>
  <c r="V44" i="1"/>
  <c r="W44" i="1"/>
  <c r="X44" i="1"/>
  <c r="Y44" i="1"/>
  <c r="Z44" i="1"/>
  <c r="AA44" i="1"/>
  <c r="AB44" i="1"/>
  <c r="AC44" i="1"/>
  <c r="AD44" i="1"/>
  <c r="N42" i="1"/>
  <c r="O42" i="1"/>
  <c r="P42" i="1"/>
  <c r="Q42" i="1"/>
  <c r="R42" i="1"/>
  <c r="S42" i="1"/>
  <c r="T42" i="1"/>
  <c r="U42" i="1"/>
  <c r="V42" i="1"/>
  <c r="W42" i="1"/>
  <c r="X42" i="1"/>
  <c r="Y42" i="1"/>
  <c r="Z42" i="1"/>
  <c r="AA42" i="1"/>
  <c r="AB42" i="1"/>
  <c r="AC42" i="1"/>
  <c r="AD42" i="1"/>
  <c r="N36" i="1"/>
  <c r="O36" i="1"/>
  <c r="P36" i="1"/>
  <c r="Q36" i="1"/>
  <c r="R36" i="1"/>
  <c r="S36" i="1"/>
  <c r="T36" i="1"/>
  <c r="U36" i="1"/>
  <c r="V36" i="1"/>
  <c r="W36" i="1"/>
  <c r="X36" i="1"/>
  <c r="Y36" i="1"/>
  <c r="Z36" i="1"/>
  <c r="AA36" i="1"/>
  <c r="AB36" i="1"/>
  <c r="AC36" i="1"/>
  <c r="AD36" i="1"/>
  <c r="N37" i="1"/>
  <c r="O37" i="1"/>
  <c r="P37" i="1"/>
  <c r="Q37" i="1"/>
  <c r="R37" i="1"/>
  <c r="S37" i="1"/>
  <c r="T37" i="1"/>
  <c r="U37" i="1"/>
  <c r="V37" i="1"/>
  <c r="W37" i="1"/>
  <c r="X37" i="1"/>
  <c r="Y37" i="1"/>
  <c r="Z37" i="1"/>
  <c r="AA37" i="1"/>
  <c r="AB37" i="1"/>
  <c r="AC37" i="1"/>
  <c r="AD37" i="1"/>
  <c r="N38" i="1"/>
  <c r="O38" i="1"/>
  <c r="P38" i="1"/>
  <c r="Q38" i="1"/>
  <c r="R38" i="1"/>
  <c r="S38" i="1"/>
  <c r="T38" i="1"/>
  <c r="U38" i="1"/>
  <c r="V38" i="1"/>
  <c r="W38" i="1"/>
  <c r="X38" i="1"/>
  <c r="Y38" i="1"/>
  <c r="Z38" i="1"/>
  <c r="AA38" i="1"/>
  <c r="AB38" i="1"/>
  <c r="AC38" i="1"/>
  <c r="AD38" i="1"/>
  <c r="N39" i="1"/>
  <c r="O39" i="1"/>
  <c r="P39" i="1"/>
  <c r="Q39" i="1"/>
  <c r="R39" i="1"/>
  <c r="S39" i="1"/>
  <c r="T39" i="1"/>
  <c r="U39" i="1"/>
  <c r="V39" i="1"/>
  <c r="W39" i="1"/>
  <c r="X39" i="1"/>
  <c r="Y39" i="1"/>
  <c r="Z39" i="1"/>
  <c r="AA39" i="1"/>
  <c r="AB39" i="1"/>
  <c r="AC39" i="1"/>
  <c r="AD39" i="1"/>
  <c r="N6" i="1"/>
  <c r="O6" i="1"/>
  <c r="P6" i="1"/>
  <c r="Q6" i="1"/>
  <c r="R6" i="1"/>
  <c r="S6" i="1"/>
  <c r="T6" i="1"/>
  <c r="U6" i="1"/>
  <c r="V6" i="1"/>
  <c r="W6" i="1"/>
  <c r="X6" i="1"/>
  <c r="Y6" i="1"/>
  <c r="Z6" i="1"/>
  <c r="AA6" i="1"/>
  <c r="AB6" i="1"/>
  <c r="AC6" i="1"/>
  <c r="AD6" i="1"/>
  <c r="N26" i="1"/>
  <c r="O26" i="1"/>
  <c r="P26" i="1"/>
  <c r="Q26" i="1"/>
  <c r="R26" i="1"/>
  <c r="S26" i="1"/>
  <c r="T26" i="1"/>
  <c r="U26" i="1"/>
  <c r="V26" i="1"/>
  <c r="W26" i="1"/>
  <c r="X26" i="1"/>
  <c r="Y26" i="1"/>
  <c r="Z26" i="1"/>
  <c r="AA26" i="1"/>
  <c r="AB26" i="1"/>
  <c r="AC26" i="1"/>
  <c r="AD26" i="1"/>
  <c r="N8" i="1"/>
  <c r="O8" i="1"/>
  <c r="P8" i="1"/>
  <c r="Q8" i="1"/>
  <c r="R8" i="1"/>
  <c r="S8" i="1"/>
  <c r="T8" i="1"/>
  <c r="U8" i="1"/>
  <c r="V8" i="1"/>
  <c r="W8" i="1"/>
  <c r="X8" i="1"/>
  <c r="Y8" i="1"/>
  <c r="Z8" i="1"/>
  <c r="AA8" i="1"/>
  <c r="AB8" i="1"/>
  <c r="AC8" i="1"/>
  <c r="AD8" i="1"/>
  <c r="N12" i="1"/>
  <c r="O12" i="1"/>
  <c r="P12" i="1"/>
  <c r="Q12" i="1"/>
  <c r="R12" i="1"/>
  <c r="S12" i="1"/>
  <c r="T12" i="1"/>
  <c r="U12" i="1"/>
  <c r="V12" i="1"/>
  <c r="W12" i="1"/>
  <c r="X12" i="1"/>
  <c r="Y12" i="1"/>
  <c r="Z12" i="1"/>
  <c r="AA12" i="1"/>
  <c r="AB12" i="1"/>
  <c r="AC12" i="1"/>
  <c r="AD12" i="1"/>
  <c r="N2" i="1"/>
  <c r="O2" i="1"/>
  <c r="P2" i="1"/>
  <c r="Q2" i="1"/>
  <c r="R2" i="1"/>
  <c r="S2" i="1"/>
  <c r="T2" i="1"/>
  <c r="U2" i="1"/>
  <c r="V2" i="1"/>
  <c r="W2" i="1"/>
  <c r="X2" i="1"/>
  <c r="Y2" i="1"/>
  <c r="Z2" i="1"/>
  <c r="AA2" i="1"/>
  <c r="AB2" i="1"/>
  <c r="AC2" i="1"/>
  <c r="AD2" i="1"/>
  <c r="N33" i="1"/>
  <c r="O33" i="1"/>
  <c r="P33" i="1"/>
  <c r="Q33" i="1"/>
  <c r="R33" i="1"/>
  <c r="S33" i="1"/>
  <c r="T33" i="1"/>
  <c r="U33" i="1"/>
  <c r="V33" i="1"/>
  <c r="W33" i="1"/>
  <c r="X33" i="1"/>
  <c r="Y33" i="1"/>
  <c r="Z33" i="1"/>
  <c r="AA33" i="1"/>
  <c r="AB33" i="1"/>
  <c r="AC33" i="1"/>
  <c r="AD33" i="1"/>
  <c r="N19" i="1"/>
  <c r="O19" i="1"/>
  <c r="P19" i="1"/>
  <c r="Q19" i="1"/>
  <c r="R19" i="1"/>
  <c r="S19" i="1"/>
  <c r="T19" i="1"/>
  <c r="U19" i="1"/>
  <c r="V19" i="1"/>
  <c r="W19" i="1"/>
  <c r="X19" i="1"/>
  <c r="Y19" i="1"/>
  <c r="Z19" i="1"/>
  <c r="AA19" i="1"/>
  <c r="AB19" i="1"/>
  <c r="AC19" i="1"/>
  <c r="AD19" i="1"/>
  <c r="N20" i="1"/>
  <c r="O20" i="1"/>
  <c r="P20" i="1"/>
  <c r="Q20" i="1"/>
  <c r="R20" i="1"/>
  <c r="S20" i="1"/>
  <c r="T20" i="1"/>
  <c r="U20" i="1"/>
  <c r="V20" i="1"/>
  <c r="W20" i="1"/>
  <c r="X20" i="1"/>
  <c r="Y20" i="1"/>
  <c r="Z20" i="1"/>
  <c r="AA20" i="1"/>
  <c r="AB20" i="1"/>
  <c r="AC20" i="1"/>
  <c r="AD20" i="1"/>
  <c r="N21" i="1"/>
  <c r="O21" i="1"/>
  <c r="P21" i="1"/>
  <c r="Q21" i="1"/>
  <c r="R21" i="1"/>
  <c r="S21" i="1"/>
  <c r="T21" i="1"/>
  <c r="U21" i="1"/>
  <c r="V21" i="1"/>
  <c r="W21" i="1"/>
  <c r="X21" i="1"/>
  <c r="Y21" i="1"/>
  <c r="Z21" i="1"/>
  <c r="AA21" i="1"/>
  <c r="AB21" i="1"/>
  <c r="AC21" i="1"/>
  <c r="AD21" i="1"/>
  <c r="N16" i="1"/>
  <c r="O16" i="1"/>
  <c r="P16" i="1"/>
  <c r="Q16" i="1"/>
  <c r="R16" i="1"/>
  <c r="S16" i="1"/>
  <c r="T16" i="1"/>
  <c r="U16" i="1"/>
  <c r="V16" i="1"/>
  <c r="W16" i="1"/>
  <c r="X16" i="1"/>
  <c r="Y16" i="1"/>
  <c r="Z16" i="1"/>
  <c r="AA16" i="1"/>
  <c r="AB16" i="1"/>
  <c r="AC16" i="1"/>
  <c r="AD16" i="1"/>
  <c r="N17" i="1"/>
  <c r="O17" i="1"/>
  <c r="P17" i="1"/>
  <c r="Q17" i="1"/>
  <c r="R17" i="1"/>
  <c r="S17" i="1"/>
  <c r="T17" i="1"/>
  <c r="U17" i="1"/>
  <c r="V17" i="1"/>
  <c r="W17" i="1"/>
  <c r="X17" i="1"/>
  <c r="Y17" i="1"/>
  <c r="Z17" i="1"/>
  <c r="AA17" i="1"/>
  <c r="AB17" i="1"/>
  <c r="AC17" i="1"/>
  <c r="AD17" i="1"/>
  <c r="N28" i="1"/>
  <c r="O28" i="1"/>
  <c r="P28" i="1"/>
  <c r="Q28" i="1"/>
  <c r="R28" i="1"/>
  <c r="S28" i="1"/>
  <c r="T28" i="1"/>
  <c r="U28" i="1"/>
  <c r="V28" i="1"/>
  <c r="W28" i="1"/>
  <c r="X28" i="1"/>
  <c r="Y28" i="1"/>
  <c r="Z28" i="1"/>
  <c r="AA28" i="1"/>
  <c r="AB28" i="1"/>
  <c r="AC28" i="1"/>
  <c r="AD28" i="1"/>
  <c r="N32" i="1"/>
  <c r="O32" i="1"/>
  <c r="P32" i="1"/>
  <c r="Q32" i="1"/>
  <c r="R32" i="1"/>
  <c r="S32" i="1"/>
  <c r="T32" i="1"/>
  <c r="U32" i="1"/>
  <c r="V32" i="1"/>
  <c r="W32" i="1"/>
  <c r="X32" i="1"/>
  <c r="Y32" i="1"/>
  <c r="Z32" i="1"/>
  <c r="AA32" i="1"/>
  <c r="AB32" i="1"/>
  <c r="AC32" i="1"/>
  <c r="AD32" i="1"/>
  <c r="N23" i="1"/>
  <c r="O23" i="1"/>
  <c r="P23" i="1"/>
  <c r="Q23" i="1"/>
  <c r="R23" i="1"/>
  <c r="S23" i="1"/>
  <c r="T23" i="1"/>
  <c r="U23" i="1"/>
  <c r="V23" i="1"/>
  <c r="W23" i="1"/>
  <c r="X23" i="1"/>
  <c r="Y23" i="1"/>
  <c r="Z23" i="1"/>
  <c r="AA23" i="1"/>
  <c r="AB23" i="1"/>
  <c r="AC23" i="1"/>
  <c r="AD23" i="1"/>
  <c r="N25" i="1"/>
  <c r="O25" i="1"/>
  <c r="P25" i="1"/>
  <c r="Q25" i="1"/>
  <c r="R25" i="1"/>
  <c r="S25" i="1"/>
  <c r="T25" i="1"/>
  <c r="U25" i="1"/>
  <c r="V25" i="1"/>
  <c r="W25" i="1"/>
  <c r="X25" i="1"/>
  <c r="Y25" i="1"/>
  <c r="Z25" i="1"/>
  <c r="AA25" i="1"/>
  <c r="AB25" i="1"/>
  <c r="AC25" i="1"/>
  <c r="AD25" i="1"/>
  <c r="N34" i="1"/>
  <c r="O34" i="1"/>
  <c r="P34" i="1"/>
  <c r="Q34" i="1"/>
  <c r="R34" i="1"/>
  <c r="S34" i="1"/>
  <c r="T34" i="1"/>
  <c r="U34" i="1"/>
  <c r="V34" i="1"/>
  <c r="W34" i="1"/>
  <c r="X34" i="1"/>
  <c r="Y34" i="1"/>
  <c r="Z34" i="1"/>
  <c r="AA34" i="1"/>
  <c r="AB34" i="1"/>
  <c r="AC34" i="1"/>
  <c r="AD34" i="1"/>
  <c r="N51" i="1"/>
  <c r="O51" i="1"/>
  <c r="P51" i="1"/>
  <c r="Q51" i="1"/>
  <c r="R51" i="1"/>
  <c r="S51" i="1"/>
  <c r="T51" i="1"/>
  <c r="U51" i="1"/>
  <c r="V51" i="1"/>
  <c r="W51" i="1"/>
  <c r="X51" i="1"/>
  <c r="Y51" i="1"/>
  <c r="Z51" i="1"/>
  <c r="AA51" i="1"/>
  <c r="AB51" i="1"/>
  <c r="AC51" i="1"/>
  <c r="AD51" i="1"/>
  <c r="N57" i="1"/>
  <c r="O57" i="1"/>
  <c r="P57" i="1"/>
  <c r="Q57" i="1"/>
  <c r="R57" i="1"/>
  <c r="S57" i="1"/>
  <c r="T57" i="1"/>
  <c r="U57" i="1"/>
  <c r="V57" i="1"/>
  <c r="W57" i="1"/>
  <c r="X57" i="1"/>
  <c r="Y57" i="1"/>
  <c r="Z57" i="1"/>
  <c r="AA57" i="1"/>
  <c r="AB57" i="1"/>
  <c r="AC57" i="1"/>
  <c r="AD57" i="1"/>
  <c r="N52" i="1"/>
  <c r="O52" i="1"/>
  <c r="P52" i="1"/>
  <c r="Q52" i="1"/>
  <c r="R52" i="1"/>
  <c r="S52" i="1"/>
  <c r="T52" i="1"/>
  <c r="U52" i="1"/>
  <c r="V52" i="1"/>
  <c r="W52" i="1"/>
  <c r="X52" i="1"/>
  <c r="Y52" i="1"/>
  <c r="Z52" i="1"/>
  <c r="AA52" i="1"/>
  <c r="AB52" i="1"/>
  <c r="AC52" i="1"/>
  <c r="AD52" i="1"/>
  <c r="N54" i="1"/>
  <c r="O54" i="1"/>
  <c r="P54" i="1"/>
  <c r="Q54" i="1"/>
  <c r="R54" i="1"/>
  <c r="S54" i="1"/>
  <c r="T54" i="1"/>
  <c r="U54" i="1"/>
  <c r="V54" i="1"/>
  <c r="W54" i="1"/>
  <c r="X54" i="1"/>
  <c r="Y54" i="1"/>
  <c r="Z54" i="1"/>
  <c r="AA54" i="1"/>
  <c r="AB54" i="1"/>
  <c r="AC54" i="1"/>
  <c r="AD54" i="1"/>
  <c r="N73" i="1"/>
  <c r="O73" i="1"/>
  <c r="P73" i="1"/>
  <c r="Q73" i="1"/>
  <c r="R73" i="1"/>
  <c r="S73" i="1"/>
  <c r="T73" i="1"/>
  <c r="U73" i="1"/>
  <c r="V73" i="1"/>
  <c r="W73" i="1"/>
  <c r="X73" i="1"/>
  <c r="Y73" i="1"/>
  <c r="Z73" i="1"/>
  <c r="AA73" i="1"/>
  <c r="AB73" i="1"/>
  <c r="AC73" i="1"/>
  <c r="AD73" i="1"/>
  <c r="N74" i="1"/>
  <c r="O74" i="1"/>
  <c r="P74" i="1"/>
  <c r="Q74" i="1"/>
  <c r="R74" i="1"/>
  <c r="S74" i="1"/>
  <c r="T74" i="1"/>
  <c r="U74" i="1"/>
  <c r="V74" i="1"/>
  <c r="W74" i="1"/>
  <c r="X74" i="1"/>
  <c r="Y74" i="1"/>
  <c r="Z74" i="1"/>
  <c r="AA74" i="1"/>
  <c r="AB74" i="1"/>
  <c r="AC74" i="1"/>
  <c r="AD74" i="1"/>
  <c r="N76" i="1"/>
  <c r="O76" i="1"/>
  <c r="P76" i="1"/>
  <c r="Q76" i="1"/>
  <c r="R76" i="1"/>
  <c r="S76" i="1"/>
  <c r="T76" i="1"/>
  <c r="U76" i="1"/>
  <c r="V76" i="1"/>
  <c r="W76" i="1"/>
  <c r="X76" i="1"/>
  <c r="Y76" i="1"/>
  <c r="Z76" i="1"/>
  <c r="AA76" i="1"/>
  <c r="AB76" i="1"/>
  <c r="AC76" i="1"/>
  <c r="AD76" i="1"/>
  <c r="N77" i="1"/>
  <c r="O77" i="1"/>
  <c r="P77" i="1"/>
  <c r="Q77" i="1"/>
  <c r="R77" i="1"/>
  <c r="S77" i="1"/>
  <c r="T77" i="1"/>
  <c r="U77" i="1"/>
  <c r="V77" i="1"/>
  <c r="W77" i="1"/>
  <c r="X77" i="1"/>
  <c r="Y77" i="1"/>
  <c r="Z77" i="1"/>
  <c r="AA77" i="1"/>
  <c r="AB77" i="1"/>
  <c r="AC77" i="1"/>
  <c r="AD77" i="1"/>
  <c r="N78" i="1"/>
  <c r="O78" i="1"/>
  <c r="P78" i="1"/>
  <c r="Q78" i="1"/>
  <c r="R78" i="1"/>
  <c r="S78" i="1"/>
  <c r="T78" i="1"/>
  <c r="U78" i="1"/>
  <c r="V78" i="1"/>
  <c r="W78" i="1"/>
  <c r="X78" i="1"/>
  <c r="Y78" i="1"/>
  <c r="Z78" i="1"/>
  <c r="AA78" i="1"/>
  <c r="AB78" i="1"/>
  <c r="AC78" i="1"/>
  <c r="AD78" i="1"/>
  <c r="N79" i="1"/>
  <c r="O79" i="1"/>
  <c r="P79" i="1"/>
  <c r="Q79" i="1"/>
  <c r="R79" i="1"/>
  <c r="S79" i="1"/>
  <c r="T79" i="1"/>
  <c r="U79" i="1"/>
  <c r="V79" i="1"/>
  <c r="W79" i="1"/>
  <c r="X79" i="1"/>
  <c r="Y79" i="1"/>
  <c r="Z79" i="1"/>
  <c r="AA79" i="1"/>
  <c r="AB79" i="1"/>
  <c r="AC79" i="1"/>
  <c r="AD79" i="1"/>
  <c r="N80" i="1"/>
  <c r="O80" i="1"/>
  <c r="P80" i="1"/>
  <c r="Q80" i="1"/>
  <c r="R80" i="1"/>
  <c r="S80" i="1"/>
  <c r="T80" i="1"/>
  <c r="U80" i="1"/>
  <c r="V80" i="1"/>
  <c r="W80" i="1"/>
  <c r="X80" i="1"/>
  <c r="Y80" i="1"/>
  <c r="Z80" i="1"/>
  <c r="AA80" i="1"/>
  <c r="AB80" i="1"/>
  <c r="AC80" i="1"/>
  <c r="AD80" i="1"/>
  <c r="N81" i="1"/>
  <c r="O81" i="1"/>
  <c r="P81" i="1"/>
  <c r="Q81" i="1"/>
  <c r="R81" i="1"/>
  <c r="S81" i="1"/>
  <c r="T81" i="1"/>
  <c r="U81" i="1"/>
  <c r="V81" i="1"/>
  <c r="W81" i="1"/>
  <c r="X81" i="1"/>
  <c r="Y81" i="1"/>
  <c r="Z81" i="1"/>
  <c r="AA81" i="1"/>
  <c r="AB81" i="1"/>
  <c r="AC81" i="1"/>
  <c r="AD81" i="1"/>
  <c r="N82" i="1"/>
  <c r="O82" i="1"/>
  <c r="P82" i="1"/>
  <c r="Q82" i="1"/>
  <c r="R82" i="1"/>
  <c r="S82" i="1"/>
  <c r="T82" i="1"/>
  <c r="U82" i="1"/>
  <c r="V82" i="1"/>
  <c r="W82" i="1"/>
  <c r="X82" i="1"/>
  <c r="Y82" i="1"/>
  <c r="Z82" i="1"/>
  <c r="AA82" i="1"/>
  <c r="AB82" i="1"/>
  <c r="AC82" i="1"/>
  <c r="AD82" i="1"/>
  <c r="N83" i="1"/>
  <c r="O83" i="1"/>
  <c r="P83" i="1"/>
  <c r="Q83" i="1"/>
  <c r="R83" i="1"/>
  <c r="S83" i="1"/>
  <c r="T83" i="1"/>
  <c r="U83" i="1"/>
  <c r="V83" i="1"/>
  <c r="W83" i="1"/>
  <c r="X83" i="1"/>
  <c r="Y83" i="1"/>
  <c r="Z83" i="1"/>
  <c r="AA83" i="1"/>
  <c r="AB83" i="1"/>
  <c r="AC83" i="1"/>
  <c r="AD83" i="1"/>
  <c r="N84" i="1"/>
  <c r="O84" i="1"/>
  <c r="P84" i="1"/>
  <c r="Q84" i="1"/>
  <c r="R84" i="1"/>
  <c r="S84" i="1"/>
  <c r="T84" i="1"/>
  <c r="U84" i="1"/>
  <c r="V84" i="1"/>
  <c r="W84" i="1"/>
  <c r="X84" i="1"/>
  <c r="Y84" i="1"/>
  <c r="Z84" i="1"/>
  <c r="AA84" i="1"/>
  <c r="AB84" i="1"/>
  <c r="AC84" i="1"/>
  <c r="AD84" i="1"/>
  <c r="N85" i="1"/>
  <c r="O85" i="1"/>
  <c r="P85" i="1"/>
  <c r="Q85" i="1"/>
  <c r="R85" i="1"/>
  <c r="S85" i="1"/>
  <c r="T85" i="1"/>
  <c r="U85" i="1"/>
  <c r="V85" i="1"/>
  <c r="W85" i="1"/>
  <c r="X85" i="1"/>
  <c r="Y85" i="1"/>
  <c r="Z85" i="1"/>
  <c r="AA85" i="1"/>
  <c r="AB85" i="1"/>
  <c r="AC85" i="1"/>
  <c r="AD85" i="1"/>
  <c r="N86" i="1"/>
  <c r="O86" i="1"/>
  <c r="P86" i="1"/>
  <c r="Q86" i="1"/>
  <c r="R86" i="1"/>
  <c r="S86" i="1"/>
  <c r="T86" i="1"/>
  <c r="U86" i="1"/>
  <c r="V86" i="1"/>
  <c r="W86" i="1"/>
  <c r="X86" i="1"/>
  <c r="Y86" i="1"/>
  <c r="Z86" i="1"/>
  <c r="AA86" i="1"/>
  <c r="AB86" i="1"/>
  <c r="AC86" i="1"/>
  <c r="AD86" i="1"/>
  <c r="N87" i="1"/>
  <c r="O87" i="1"/>
  <c r="P87" i="1"/>
  <c r="Q87" i="1"/>
  <c r="R87" i="1"/>
  <c r="S87" i="1"/>
  <c r="T87" i="1"/>
  <c r="U87" i="1"/>
  <c r="V87" i="1"/>
  <c r="W87" i="1"/>
  <c r="X87" i="1"/>
  <c r="Y87" i="1"/>
  <c r="Z87" i="1"/>
  <c r="AA87" i="1"/>
  <c r="AB87" i="1"/>
  <c r="AC87" i="1"/>
  <c r="AD87" i="1"/>
  <c r="O46" i="1"/>
  <c r="P46" i="1"/>
  <c r="Q46" i="1"/>
  <c r="R46" i="1"/>
  <c r="S46" i="1"/>
  <c r="T46" i="1"/>
  <c r="U46" i="1"/>
  <c r="V46" i="1"/>
  <c r="W46" i="1"/>
  <c r="X46" i="1"/>
  <c r="Y46" i="1"/>
  <c r="Z46" i="1"/>
  <c r="AA46" i="1"/>
  <c r="AB46" i="1"/>
  <c r="AC46" i="1"/>
  <c r="AD46" i="1"/>
  <c r="N46" i="1"/>
  <c r="E23" i="3"/>
</calcChain>
</file>

<file path=xl/sharedStrings.xml><?xml version="1.0" encoding="utf-8"?>
<sst xmlns="http://schemas.openxmlformats.org/spreadsheetml/2006/main" count="2803" uniqueCount="527">
  <si>
    <t>Wo</t>
  </si>
  <si>
    <t>Freiland</t>
  </si>
  <si>
    <t>Lage</t>
  </si>
  <si>
    <t>Licht</t>
  </si>
  <si>
    <t>Glashaus</t>
  </si>
  <si>
    <t>Süden/Thujen</t>
  </si>
  <si>
    <t>Halbschatten</t>
  </si>
  <si>
    <t>Halbschatten/Schatten</t>
  </si>
  <si>
    <t>Gefäß</t>
  </si>
  <si>
    <t>Platz</t>
  </si>
  <si>
    <t>Pflanzhilfe</t>
  </si>
  <si>
    <t>Ernährung</t>
  </si>
  <si>
    <t>Pflanzort</t>
  </si>
  <si>
    <t>Hochregal</t>
  </si>
  <si>
    <t>5OA</t>
  </si>
  <si>
    <t>Höhe</t>
  </si>
  <si>
    <t>oben</t>
  </si>
  <si>
    <t>Kennzahl</t>
  </si>
  <si>
    <t>Nummer</t>
  </si>
  <si>
    <t>A</t>
  </si>
  <si>
    <t>B</t>
  </si>
  <si>
    <t>5OB</t>
  </si>
  <si>
    <t>5MA</t>
  </si>
  <si>
    <t>5MB</t>
  </si>
  <si>
    <t>5UA</t>
  </si>
  <si>
    <t>5UB</t>
  </si>
  <si>
    <t>mitte</t>
  </si>
  <si>
    <t>unten</t>
  </si>
  <si>
    <t>nein</t>
  </si>
  <si>
    <t>trocken</t>
  </si>
  <si>
    <t>Pflanze</t>
  </si>
  <si>
    <t>Pflanzpartner</t>
  </si>
  <si>
    <t>Samen</t>
  </si>
  <si>
    <t>Pflanzgegner</t>
  </si>
  <si>
    <t>Wuchs</t>
  </si>
  <si>
    <t>Anspruch Pflege Pflanze</t>
  </si>
  <si>
    <t>Vorkultur</t>
  </si>
  <si>
    <t>Direktsaat</t>
  </si>
  <si>
    <t>Fleischparadeiser Rotes Herz</t>
  </si>
  <si>
    <t>Lager</t>
  </si>
  <si>
    <t>Lagerfläche</t>
  </si>
  <si>
    <t>Arbeitsfläche</t>
  </si>
  <si>
    <t>Wintermarie</t>
  </si>
  <si>
    <t>Tomatenhaken</t>
  </si>
  <si>
    <t>Eurobox 20</t>
  </si>
  <si>
    <t>Salatparadeiser Quedlinburger Frühe Liebe</t>
  </si>
  <si>
    <t>15.03-15.04</t>
  </si>
  <si>
    <t>Katalog</t>
  </si>
  <si>
    <t>Arche Noah</t>
  </si>
  <si>
    <t>Details und Beschreibung</t>
  </si>
  <si>
    <t>20-25</t>
  </si>
  <si>
    <t>Keimtemperatur C°</t>
  </si>
  <si>
    <t>Keimdauer Tage</t>
  </si>
  <si>
    <t>Saattiefe cm</t>
  </si>
  <si>
    <t>8-10</t>
  </si>
  <si>
    <t>Aussetzen</t>
  </si>
  <si>
    <t>15.05-31.05.</t>
  </si>
  <si>
    <t>August</t>
  </si>
  <si>
    <t>Abstände Pflanze cm</t>
  </si>
  <si>
    <t>Abstände Reihe cm</t>
  </si>
  <si>
    <t>unbegrenzt, locker belaubt, wirkt im Jugendstadium schwach, bisweilen bräunliche Blätter die später verschwinden</t>
  </si>
  <si>
    <t>Das rotes Ochsenherz lässt sich vielfältig verwenden, für Suppen, Saucen und Salate. Die Ausgewogenheit von Süße und Säure ergibt einen sehr guten Geschmack, herzförmig, schwach gerippt und 10-12 cm groß. Ursprünglich stammt die Sorte aus Kroatien.</t>
  </si>
  <si>
    <t xml:space="preserve">	Buschbohne, Knoblauch, Kohl, Kohlrabi</t>
  </si>
  <si>
    <t>Erbse, Fenchel, Kartoffeln</t>
  </si>
  <si>
    <t>Beipflanze</t>
  </si>
  <si>
    <t>Basilikum, gegen Mehltau und weiße Fliege
Tagetes, gegen Nematoden, Viren und weiße Fliege</t>
  </si>
  <si>
    <t>September</t>
  </si>
  <si>
    <t>Juli</t>
  </si>
  <si>
    <t>nicht ausgeizen, Mulchen, warm, Schutz vor Regen, mäßig von unten gießen</t>
  </si>
  <si>
    <t>Ausgeizen, Mulchen, warm, Schutz vor Regen, mäßig von unten gießen</t>
  </si>
  <si>
    <t>Stabtomate wächst bis 1,2 m hoch und hat kartoffelblättriges lockeres Laub</t>
  </si>
  <si>
    <t>Im Salat kommt der süß-aromatische Geschmack hervorragend zur Geltung. Extrem frühreifend ist die Sorte auch für rauhere Lagen empfehlenswert.
Die roten, runden, ca. 4 cm großen Früchte kann man die ganze Saison über ernten.</t>
  </si>
  <si>
    <t>01.03.-31.05.</t>
  </si>
  <si>
    <t>sonniger Standort , durchlässiger Boden</t>
  </si>
  <si>
    <t>Bekommt sie genügend Wärme, wächst sie sehr rasch.</t>
  </si>
  <si>
    <t>Mai</t>
  </si>
  <si>
    <t>01.05.</t>
  </si>
  <si>
    <t>Busch bis 50 cm</t>
  </si>
  <si>
    <t>Tomaten, Gurken, Kohl	gegen Mehltau und weiße Fliege</t>
  </si>
  <si>
    <t>nicht belegt</t>
  </si>
  <si>
    <t>frei</t>
  </si>
  <si>
    <t>Arbeit</t>
  </si>
  <si>
    <t>Bohnen, Erbsen, Kartoffeln, Kopfsalat, Tomaten, Radieschen, Rote Bete, Sellerie, Spinat, Lauch</t>
  </si>
  <si>
    <t>15.02.-15.03.</t>
  </si>
  <si>
    <t>Gruppe</t>
  </si>
  <si>
    <t>Frucht</t>
  </si>
  <si>
    <t>Kräuter</t>
  </si>
  <si>
    <t>Blatt</t>
  </si>
  <si>
    <t>Basilikum Genoveser</t>
  </si>
  <si>
    <t>01.01.-31.12.</t>
  </si>
  <si>
    <t>31.05.-31.07.</t>
  </si>
  <si>
    <t>14-18</t>
  </si>
  <si>
    <t>18-22</t>
  </si>
  <si>
    <t>Ganzjährig</t>
  </si>
  <si>
    <t>sonnig feucht bevorzugt, Boden locker gut feucht</t>
  </si>
  <si>
    <t>Kopf locker attraktiv durch Rotfärbung</t>
  </si>
  <si>
    <t>10-15</t>
  </si>
  <si>
    <t>5-7</t>
  </si>
  <si>
    <t>01.02.-28.02.</t>
  </si>
  <si>
    <t xml:space="preserve">15.07.-31.08. </t>
  </si>
  <si>
    <t>01.04.</t>
  </si>
  <si>
    <t>Tomatenstab</t>
  </si>
  <si>
    <t xml:space="preserve">Der Kopfsalat ist außer frisch auch für die Spinatzubereitung geeignet. Die leichte Rotfärbung sieht sehr schön aus. Köstlich, sehr zart! Die Pflanzen sind raschwüchsig und robust gegen Pilzkrankheiten und Kälte. Er hat sich auch als Überwinterungskultur bewährt. Attraktiv durch Rotfärbung. Aus Kroatien. </t>
  </si>
  <si>
    <t>Bohnen, Dill, Erbsen, Erdbeeren, Gurken, Kohl, Lauch, Möhren, Tomaten, Zwiebeln</t>
  </si>
  <si>
    <t>Petersilie, Sellerie</t>
  </si>
  <si>
    <t>Kerbel, gegen Läuse</t>
  </si>
  <si>
    <t>16-20</t>
  </si>
  <si>
    <t>5-8</t>
  </si>
  <si>
    <t>01.04.-31.05.</t>
  </si>
  <si>
    <t>April</t>
  </si>
  <si>
    <t>Ernte Start</t>
  </si>
  <si>
    <t>Riesenkohlrabi, bis zu 8 kg</t>
  </si>
  <si>
    <t>samenmaier Bio</t>
  </si>
  <si>
    <t>Frostfrei! Schatten, Knolle kein Erdkontakt wegen Schimmel. Kohlanbaufläche jährlich wechseln! Nährstoffreicher, humosen Boder. Bei Trockenheit regelmäßig gießen, damit die Kohlrabi nicht platzen. Wasser- und Nährstoffmangel führt zu Wachstumsstockungen, mehrmals düngen.</t>
  </si>
  <si>
    <t xml:space="preserve"> Zur Lagerung und zum Tiefgefrieren bestens geeignet. Alle Kohlarten sind von allen Gemüse-Arten am längsten lagerbar und gelten als typisches Wintergemüse. Schon seit der Steinzeit wird vermutet, dass Kohl als Lebensmittel für uns gedient hat.</t>
  </si>
  <si>
    <t>Zuckererbse Ambrosia</t>
  </si>
  <si>
    <t>Knackerbse Spring Blush</t>
  </si>
  <si>
    <t>Juni</t>
  </si>
  <si>
    <t>Goldgelbe Cocktailtomate. Die Früchte sind rund und werden ungefähr 2,5-3cm groß. Im Geschmack sehr süß und aromatisch. Unbegrenzt wachsende Pflanze, entwickelt viele Nebentriebe. Seit 1985 aus Tartu, Estland.</t>
  </si>
  <si>
    <t>sonniger Standort</t>
  </si>
  <si>
    <t>unbegrenzt</t>
  </si>
  <si>
    <t xml:space="preserve">Cocktailtomate mit winzigen, max. 1,5 cm großen Früchten und süß-säuerlicherm Geschmack. </t>
  </si>
  <si>
    <t>Das übliche Ausgeizen auf nur 1–3 Haupttriebe ist nicht sinnvoll. Wir empfehlen, die Pflanzen lediglich auszulichten, sonniger Standort</t>
  </si>
  <si>
    <t>unbegrenzt wachsend, stark verzweigt</t>
  </si>
  <si>
    <t>REINSAAT</t>
  </si>
  <si>
    <t>01.03.-30.04.</t>
  </si>
  <si>
    <t>Mittelfrühe, ca. 70 cm hohe Zuckererbse mit hoher Ertragsleistung. Die standfeste Sorte benötigt keine Rankhilfe. Jung, mit noch nicht entwickelten Samen sind die mittelgroßen, hellgrünen Hülsen besonders süß und geschmackvoll.</t>
  </si>
  <si>
    <t>Hülse</t>
  </si>
  <si>
    <t>ca. 70 cm, ohne Rankhilfe möglich</t>
  </si>
  <si>
    <t>Dill, Fenchel, Gurken, Kohlarten, Mais, Möhren, Kohlrabi, Kopfsalat, Radieschen, Zucchini</t>
  </si>
  <si>
    <t>Bohnen, Kartoffeln, Knoblauch, Lauch, Tomaten, Zwiebeln</t>
  </si>
  <si>
    <t>Schatten</t>
  </si>
  <si>
    <t>10-20</t>
  </si>
  <si>
    <t>8-14</t>
  </si>
  <si>
    <t>Halbschatten, Erbsen nicht zu spät aussäen
Die meisten Erbsensorten bilden an kühlen, kurzen Tagen nur Blätter. Erst wenn die Tage länger werden und die Temperaturen steigen, meist ab Mitte Mai, entwickeln sich Blüten. Wer viel ernten möchte, sät die Erbsen so früh wie möglich, damit die Pflanzen vor der Blütenbildung noch lange wachsen,  empfehlenswert ist es, die Erbsen spätestens Ende April zu säen.</t>
  </si>
  <si>
    <t>8-15</t>
  </si>
  <si>
    <t xml:space="preserve">ca. bis 120 cm, Rankhilfe </t>
  </si>
  <si>
    <t>Sorten WERKSTATT</t>
  </si>
  <si>
    <t>Knackerbse, das heißt, die Hülsen sind sehr knackig und süß, nicht fädig und somit lang beerntbar. Nicht vergleichbar mit Zuckererbsen! Diese neue Sorte hat grün-violetten Schoten, ist aber noch nicht ganz einheitlich durchselektiert. Nutzbar sind die Schoten (frisch und gekocht), die frischen Erbsensamen und die Ranken, von denen die Pflanze zahlreiche bildet. Sehr schön! Aussaat ab März. Direktsaat. Rankhilfe notwenig.</t>
  </si>
  <si>
    <t>Niederregal</t>
  </si>
  <si>
    <t>4UA</t>
  </si>
  <si>
    <t>Anzahl Pflanzen</t>
  </si>
  <si>
    <t>4UB</t>
  </si>
  <si>
    <t>4UC</t>
  </si>
  <si>
    <t>C</t>
  </si>
  <si>
    <t>Eurobox klein</t>
  </si>
  <si>
    <t>Erde</t>
  </si>
  <si>
    <t>Streu</t>
  </si>
  <si>
    <t>4OA</t>
  </si>
  <si>
    <t>4OB</t>
  </si>
  <si>
    <t>4OC</t>
  </si>
  <si>
    <t>Stahl 30</t>
  </si>
  <si>
    <t>Stahl 20</t>
  </si>
  <si>
    <t>Gitter</t>
  </si>
  <si>
    <t>Schnittsalat Asia Oriental Mix</t>
  </si>
  <si>
    <t>Schnittsalat Misticanza</t>
  </si>
  <si>
    <t>Pflücksalat Red Salat Bowl</t>
  </si>
  <si>
    <t>01.01.-30.04.</t>
  </si>
  <si>
    <t>15.07.-01.10.</t>
  </si>
  <si>
    <t>breitwürfig, mehrfacher Schnitt</t>
  </si>
  <si>
    <t>01.02.-01.09.</t>
  </si>
  <si>
    <t>März</t>
  </si>
  <si>
    <t>Februar</t>
  </si>
  <si>
    <t>Oriental Mix ist eine bunte Cut-and-Come- Again-Salatmischung aus den frostverträglichen Asia-Blattgemüsesorten Pak Choi, Bok Choi, Mizuna, Mibuna, Purple Wave, Rouge metis, Grün im Schnee, Red Giant und anderen. Die Sortenmischung umfasst alle Geschmäcker von feinwürzig bis senfartig scharf.</t>
  </si>
  <si>
    <t>frosttolerant, Direktsaat Freiland unter Vlies ab Februar/März und Juli bis Ende September, Voranzucht für frostfreies Gewächshaus ab Juli bis Jänner für satzweisen Anbau, Kalthaus Februar bis April</t>
  </si>
  <si>
    <t>1-2</t>
  </si>
  <si>
    <t>7-14</t>
  </si>
  <si>
    <t>1-3</t>
  </si>
  <si>
    <t>01.02.</t>
  </si>
  <si>
    <t xml:space="preserve">Traditioneller, italienischer Sorten- und Artenmix. Beliebte Pflücksalat-Mischung aus den roten und grünen Pflücksalaten, Romana- und Eichblattsalaten, Schnittzichorien, Rucola und der typischen Spezialität des Original-Misticanza Hirschhornwegerichs (Herba Stella). </t>
  </si>
  <si>
    <t>Direktsaat ab Februar mit Folgesaaten bis Anfang September.</t>
  </si>
  <si>
    <t>Austrosaat</t>
  </si>
  <si>
    <t>15</t>
  </si>
  <si>
    <t>0,2</t>
  </si>
  <si>
    <t>01.03.-30.09.</t>
  </si>
  <si>
    <t>Ein schnellwüchsiger Schnitt- oder Pflücksalat mit eichblattförmigen, zarten rötlichen Blättern und lockerem Kopf.</t>
  </si>
  <si>
    <t>als Pflücksalat  wird ein Abstand von 25 x 25 cm empfohlen</t>
  </si>
  <si>
    <t>Spinat Matador</t>
  </si>
  <si>
    <t>Paprika Orange Kidds</t>
  </si>
  <si>
    <t>1UA</t>
  </si>
  <si>
    <t>1UB</t>
  </si>
  <si>
    <t>1UC</t>
  </si>
  <si>
    <t>1OA</t>
  </si>
  <si>
    <t>1OB</t>
  </si>
  <si>
    <t>1OC</t>
  </si>
  <si>
    <t>2UA</t>
  </si>
  <si>
    <t>2UB</t>
  </si>
  <si>
    <t>2UC</t>
  </si>
  <si>
    <t>2OA</t>
  </si>
  <si>
    <t>2OB</t>
  </si>
  <si>
    <t>2OC</t>
  </si>
  <si>
    <t>3UA</t>
  </si>
  <si>
    <t>3UB</t>
  </si>
  <si>
    <t>3UC</t>
  </si>
  <si>
    <t>Norden/Mauer</t>
  </si>
  <si>
    <t>Sonne</t>
  </si>
  <si>
    <t>3OA</t>
  </si>
  <si>
    <t>3OB</t>
  </si>
  <si>
    <t>3OC</t>
  </si>
  <si>
    <t>Zuckermelone</t>
  </si>
  <si>
    <t>Chili spitz rot</t>
  </si>
  <si>
    <t>Paprika spitz rot</t>
  </si>
  <si>
    <t>Chili Lemon Drop</t>
  </si>
  <si>
    <t>Stahl30</t>
  </si>
  <si>
    <t>Stahl20</t>
  </si>
  <si>
    <t>Anzuchtschalen</t>
  </si>
  <si>
    <t>Topfplatten</t>
  </si>
  <si>
    <t>Hauben</t>
  </si>
  <si>
    <t>4x8 Plätze</t>
  </si>
  <si>
    <t>Platten</t>
  </si>
  <si>
    <t>Eurobox20</t>
  </si>
  <si>
    <t>Eurobox30</t>
  </si>
  <si>
    <t>Westen/Haus</t>
  </si>
  <si>
    <t>6UB</t>
  </si>
  <si>
    <t>6UA</t>
  </si>
  <si>
    <t>6MA</t>
  </si>
  <si>
    <t>6MB</t>
  </si>
  <si>
    <t>6OA</t>
  </si>
  <si>
    <t>6OB</t>
  </si>
  <si>
    <t>7UA</t>
  </si>
  <si>
    <t>7UB</t>
  </si>
  <si>
    <t>7MA</t>
  </si>
  <si>
    <t>7MB</t>
  </si>
  <si>
    <t>7OA</t>
  </si>
  <si>
    <t>7OB</t>
  </si>
  <si>
    <t>Boot</t>
  </si>
  <si>
    <t>8L</t>
  </si>
  <si>
    <t>8M</t>
  </si>
  <si>
    <t>8R</t>
  </si>
  <si>
    <t>9L</t>
  </si>
  <si>
    <t>10L</t>
  </si>
  <si>
    <t>11L</t>
  </si>
  <si>
    <t>12L</t>
  </si>
  <si>
    <t>L</t>
  </si>
  <si>
    <t>9M</t>
  </si>
  <si>
    <t>9R</t>
  </si>
  <si>
    <t>10M</t>
  </si>
  <si>
    <t>10R</t>
  </si>
  <si>
    <t>11M</t>
  </si>
  <si>
    <t>11R</t>
  </si>
  <si>
    <t>12M</t>
  </si>
  <si>
    <t>12R</t>
  </si>
  <si>
    <t>Osten/Wald</t>
  </si>
  <si>
    <t>links</t>
  </si>
  <si>
    <t>rechts</t>
  </si>
  <si>
    <t>M</t>
  </si>
  <si>
    <t>R</t>
  </si>
  <si>
    <t>davon 1 auf Garagendach</t>
  </si>
  <si>
    <t>Salat div.</t>
  </si>
  <si>
    <t>samen greisslerei</t>
  </si>
  <si>
    <t>biotiger</t>
  </si>
  <si>
    <t>25-30</t>
  </si>
  <si>
    <t>Diese Sorte hat dünnwandige, leuchtend gelbe Schoten, die eine ausgesprochene Schärfe aufweisen (Schärfegrad 7 – 8). Zusätzlich besitzen sie ein typisches Zitronenaroma. Die Pflanze erreicht im Freiland bis 80 cm Wuchshöhe. Sie ist mehrjährig, aber nicht frosthart!
Nutzung: Chilischoten zum Würzen frisch oder getrocknet. Daraus läßt sich ein farblich sehr schönes Chilipulver mahlen.</t>
  </si>
  <si>
    <t>80 cm, Anstäben</t>
  </si>
  <si>
    <t>Stäbe</t>
  </si>
  <si>
    <t>1</t>
  </si>
  <si>
    <t>10-14</t>
  </si>
  <si>
    <t>mehrjährig! Jungpflanzen wachsen langsam, vor Frost schützen, langsam abhärten, feuchtes, lockeres und nährstoffreichen Substrat, Boden im Idealfall einen neutralen bis leicht sauren pH-Wert, mit Kompost düngen</t>
  </si>
  <si>
    <t>Rucola, Radieschen, Pertersilie, Basilikum</t>
  </si>
  <si>
    <t>01.03.</t>
  </si>
  <si>
    <t>Kohlrabi Superschmelz</t>
  </si>
  <si>
    <t>01.01.-30.03.</t>
  </si>
  <si>
    <t>01.03.-01.09.</t>
  </si>
  <si>
    <t>Zucchini, Kohlrabi, Erdbeeren</t>
  </si>
  <si>
    <t>Rasch wachsende, mittelfrühe Sorte mit sehr gutem Ertrag. Zarte, mittel- bis dunkelgrüne Blätter. Für den Frühjahrs- und Herbstanbau und den Überwinterungsanbau geeignet.</t>
  </si>
  <si>
    <t>3</t>
  </si>
  <si>
    <t>Anzucht</t>
  </si>
  <si>
    <t>Baby div.</t>
  </si>
  <si>
    <t>Pflücksalat weiß</t>
  </si>
  <si>
    <t>Kegelförmige, bis 10 cm große orange abreifende Früchte mit sehr süßem Geschmack. Die Ernte ist ist nicht besonders früh geht dann aber sehr lange in den Herbst hinein.
Schärfe: 0
Fruchtfarbe: grün | orange</t>
  </si>
  <si>
    <t>01.02.-15.04.</t>
  </si>
  <si>
    <t>01.04.-01.06.</t>
  </si>
  <si>
    <t>22-25</t>
  </si>
  <si>
    <t>Keimung bei möglichst stabiler Temperatur, sonnig, mäßig viel Wasser, gute Topf-Eignung</t>
  </si>
  <si>
    <t>0,5-1</t>
  </si>
  <si>
    <t>50 cm</t>
  </si>
  <si>
    <t>Salat</t>
  </si>
  <si>
    <t>Zwiebel Deep Purple</t>
  </si>
  <si>
    <t>Kräuter div.</t>
  </si>
  <si>
    <t>Petersilie</t>
  </si>
  <si>
    <t>Gurke Melothria</t>
  </si>
  <si>
    <t>Gurke Pappelchen</t>
  </si>
  <si>
    <t>01.05.-30.06.</t>
  </si>
  <si>
    <t>2-3</t>
  </si>
  <si>
    <t>25-28</t>
  </si>
  <si>
    <t>samen hauefl</t>
  </si>
  <si>
    <t>1,5 m am Gitter</t>
  </si>
  <si>
    <t>15.04.-30.04.</t>
  </si>
  <si>
    <t xml:space="preserve">nicht pikieren! Die Pflänzchen werden bis zum ersten Blattpaar eingesetzt. Wenn der Stiel in der Erde ist, kann er neue Wurzeln bilden. Nach dem Pflanzen die Gurken unbedingt ausgiebig gießen. Besonders schlecht ist Staunässe. </t>
  </si>
  <si>
    <t xml:space="preserve">Mexikanische Minigurke, grün weiß, junge Früchte roh oder zum Einlegen, auch für Topfkultur geeignet. Brauchen ein feines Rankgerüst, Früchte spät, September, Durchmesser ca. 3 cm, </t>
  </si>
  <si>
    <t>Kleine Salat ooder Einlegegurke mit glatter Schale, dunkelgrün, kaum bestachelt, Früchte ca. 8-12 cm lang, robust auch bei ungünstiger Witterung</t>
  </si>
  <si>
    <t>Gewürztagetes</t>
  </si>
  <si>
    <t>niedrig wachsend bis 30 cm</t>
  </si>
  <si>
    <t>Bohnen, Dill, Erbsen, Fenchel, Kohl, Kopfsalat, Kümmel, Lauch, Mais, Rote Bete, Sellerie, Zwiebeln</t>
  </si>
  <si>
    <t>Tomaten, Radieschen</t>
  </si>
  <si>
    <t>Basilikum, gegen Mehltau und weiße Fliege
Borretsch, Insektenbestäubten Pflanzen, z.B. Gurken, Zucchini, Lockt Insekten an</t>
  </si>
  <si>
    <t>Tagetes gegen Nematoden, Viren und weiße Fliege</t>
  </si>
  <si>
    <t>Kompakt wachsende, ca. 30 cm hohe Staude mit leuchtend gelb-orangen, wohlschmeckenden Blüten, deren Aroma an Mandarinen erinnert. Köstliches Gewürz in Salaten, Süßspeisen und Punsch.</t>
  </si>
  <si>
    <t>15-18</t>
  </si>
  <si>
    <t>5-10</t>
  </si>
  <si>
    <t>0,5</t>
  </si>
  <si>
    <t>sonnig, gut durchlässiger fruchtbarer Boden, Geruch zieht Schnecken an, wehrt Nematoden, Ameisen und die Weiße Fliege ab</t>
  </si>
  <si>
    <t>Gurken Tomaten</t>
  </si>
  <si>
    <t>20-22</t>
  </si>
  <si>
    <t>Wurzel</t>
  </si>
  <si>
    <t>Stark verzweigte, buschförmig wachsende Wildtomate aus der EHZ von ReinSaat. Bildet an langen Rispen massenhaft runde, kleine, gelbe Früchte mit süßem, kräftigem Wild- tomatenaroma. Pflanzen müssen nur nicht ausgegeizt werden. Ideale Naschtomate für die Topfkultur auf Balkon und Terrasse.</t>
  </si>
  <si>
    <t>nicht ausgeizen, sonniger Standort</t>
  </si>
  <si>
    <t>Stark verzweigte, buschförmig, lange Rispen mit massenhaft Früchte</t>
  </si>
  <si>
    <t>01.02-31.03.</t>
  </si>
  <si>
    <t>Jungzwiebel Mai/Juni, Knolle August (wenn Laub knickt)</t>
  </si>
  <si>
    <t>Diese Sorte zeichnet sich durch feste, dunkelrote, plattrunde bis runde Zwiebeln aus, die gut lagerfähig sind. Sie ist sehr attraktiv als Jungzwiebel, der Schaft leuchtet dunkelrot unter dem grünem Laub hervor. Gute Lagerzwiebel. Nutzung:
Jungzwiebeln, frisch oder gegart. Küchenzwiebel.</t>
  </si>
  <si>
    <t>sonnig</t>
  </si>
  <si>
    <t>Bohnenkraut, Erdbeeren, Dill, Kopfsalat,
Möhren, Rote Bete</t>
  </si>
  <si>
    <t>Bohnen, Erbsen, Kohl</t>
  </si>
  <si>
    <t>14-25</t>
  </si>
  <si>
    <t>Winterhecken Zwiebel</t>
  </si>
  <si>
    <t>01.03.-31.08.</t>
  </si>
  <si>
    <t>15.04.</t>
  </si>
  <si>
    <t>15.05.-15.06.</t>
  </si>
  <si>
    <t>Zucchini Largo Blanco Serpiente</t>
  </si>
  <si>
    <t>Stangenbohne Cornetti Viola Trionfo</t>
  </si>
  <si>
    <t>12-25</t>
  </si>
  <si>
    <t>5 Bohnen pro Stange 2 m</t>
  </si>
  <si>
    <t>Die violetten Fisolen sind wohlschmeckend, leicht süß, mit Biss und schmecken als Salat oder Gemüse zubereitet. Die Samen sind nierenförmig, hautfarben mit grauer Sprenkelung. Die Sorte stammt aus Italien.</t>
  </si>
  <si>
    <t>Stangenbohne Aloisia schwarz</t>
  </si>
  <si>
    <t>Alte Sorte aus der Südsteiermark, von einer Arche Noah Erhalterin bekommen. Leicht gebogene grüne Fisolen, fadenlos, die sehr knackig sind, wenn man sie dünstet. Die schwarzen Samen kann man als Trockenbohnen nutzen. Enthält mind. 30 Samen sortenreines Saatgut.</t>
  </si>
  <si>
    <t>Buschig wachsend</t>
  </si>
  <si>
    <t>Weiße Zucchini mit augeprägtem Geschmack. Stammt aus Sizilien.
Die Pflanzen zeichnen sich durch Frühreife aus, ab Mitte Juli kann förmlich fortlaufend geernet werden.
Ganz jung bei einer Dicke von 2cm geerntet unglaublich zart, selbst später bildet sie keine harte Schale aus, sondern sie bleiben weich bei knackigem Fleisch. Die Sorte unbedingt pur probieren, fein geschnitten oder geraspelt mit Salz, Olivenöl, Pfeffer und Tomatenessig total lecker.</t>
  </si>
  <si>
    <t>Maria Arnold</t>
  </si>
  <si>
    <t>Kopfsalat, Lauch, Möhren, Petersilie, Rettich
Radieschen, Rote Bete, Sellerie, Spinat,
Stangenbohnen, Zwiebeln</t>
  </si>
  <si>
    <t>Borretsch, Insektenbestäubten Pflanzen, z.B. Gurken, Zucchini, Lockt Insekten an</t>
  </si>
  <si>
    <t>nicht pikieren, Übernacht mit Kamillentee einweiken vor Aussaat, sonnig, mäßig feucht, wärmebedürftig, gute Vorfruchtwirkung</t>
  </si>
  <si>
    <t>winterhart, ausdauernd</t>
  </si>
  <si>
    <t>Blattgrün kann häufig beerntet werden, Feb. -Okt.. Im Sommer schöne Kugelblüte, Vermehrung auch über Teilung</t>
  </si>
  <si>
    <t>Staude mit Blüte</t>
  </si>
  <si>
    <t>Bohnenkraut, Erdbeeren, Gurken, Sellerie, Rote Bete, Kohlarten, Kopfsalat, Pflücksalat, Tomate</t>
  </si>
  <si>
    <t>Erbsen, Fenchel, Knoblauch, Lauch, Zwiebeln</t>
  </si>
  <si>
    <t>Bohnenkraut, gegen schwarze Bohnenlaus, Duftstoffe fördern Wachstum und Aroma der Bohnen</t>
  </si>
  <si>
    <t>15.05.</t>
  </si>
  <si>
    <t>Karotte Duwicker Streit</t>
  </si>
  <si>
    <t>21</t>
  </si>
  <si>
    <t>1-2,5</t>
  </si>
  <si>
    <t>28.02.-30.06.</t>
  </si>
  <si>
    <t>klein</t>
  </si>
  <si>
    <t>darf nie austrocknen bei Neusaat, Unkraut entfernen, Vereinzeln bei Bedarf, sonnig</t>
  </si>
  <si>
    <t>Stoppelrübe aus der Wildschönau</t>
  </si>
  <si>
    <t>Dill, Erbsen, Knoblauch, Lauch, Radieschen, Rettich, Tomaten, Zwiebeln, Schnittlauch</t>
  </si>
  <si>
    <t>Ihr Geschmack ist sehr süß und enorm aromatisch! Duwika ist eine raschwüchsige Frühkarotte, die sich als Treibmöhre im Frühbeet und früheste Freilandkarotte eignet. Sie wird aber auch den ganzen Sommer hindurch bis zu spätesten Ausaatterminen Anfang August gesät. Durch den hohen Zuckergehalt ist sie weniger frostempfindlich als andere Sorten. 
„Duwicker" werden Karotten mit kurzen, kreiselförmigen Wurzeln genannt. Die Sorte ist frühreifend, das Fruchtfleisch schmeckt süß und ist orange gefärbt. Auch auf schweren Böden nicht beinig und leicht zu ernten.</t>
  </si>
  <si>
    <t>Radieschen</t>
  </si>
  <si>
    <t>4-6</t>
  </si>
  <si>
    <t>1-1,5</t>
  </si>
  <si>
    <t>15.03.-15.09.</t>
  </si>
  <si>
    <t>div.</t>
  </si>
  <si>
    <t>24</t>
  </si>
  <si>
    <t>Rankend, Aufbinden</t>
  </si>
  <si>
    <t>own grown</t>
  </si>
  <si>
    <t>Gesamtergebnis</t>
  </si>
  <si>
    <t>(Alle)</t>
  </si>
  <si>
    <t>AZ</t>
  </si>
  <si>
    <t>(Leer)</t>
  </si>
  <si>
    <t>1 Ergebnis</t>
  </si>
  <si>
    <t>10 Ergebnis</t>
  </si>
  <si>
    <t>5 Ergebnis</t>
  </si>
  <si>
    <t>11 Ergebnis</t>
  </si>
  <si>
    <t>12 Ergebnis</t>
  </si>
  <si>
    <t>6 Ergebnis</t>
  </si>
  <si>
    <t>2 Ergebnis</t>
  </si>
  <si>
    <t>4 Ergebnis</t>
  </si>
  <si>
    <t>3 Ergebnis</t>
  </si>
  <si>
    <t>7 Ergebnis</t>
  </si>
  <si>
    <t>8 Ergebnis</t>
  </si>
  <si>
    <t>9 Ergebnis</t>
  </si>
  <si>
    <t>rosa</t>
  </si>
  <si>
    <t>grün</t>
  </si>
  <si>
    <t>gelb</t>
  </si>
  <si>
    <t>blau</t>
  </si>
  <si>
    <t>Zwiebel</t>
  </si>
  <si>
    <t>Kohl</t>
  </si>
  <si>
    <t>rot</t>
  </si>
  <si>
    <t>Blüten</t>
  </si>
  <si>
    <t>Hülsen</t>
  </si>
  <si>
    <t>Beeren</t>
  </si>
  <si>
    <t>max. 6</t>
  </si>
  <si>
    <t>Gefäße</t>
  </si>
  <si>
    <t>Anzahl</t>
  </si>
  <si>
    <t>Ebenen</t>
  </si>
  <si>
    <t>Kisten je Ebene</t>
  </si>
  <si>
    <t>Kisten 40x60</t>
  </si>
  <si>
    <t>Boote</t>
  </si>
  <si>
    <t>Gesamt</t>
  </si>
  <si>
    <t>davon Anzucht</t>
  </si>
  <si>
    <t>davon Arbeitsfläche</t>
  </si>
  <si>
    <t>Regal</t>
  </si>
  <si>
    <t>Pflanz-Plätze gesamt</t>
  </si>
  <si>
    <t>Pflanz-Plätze normal</t>
  </si>
  <si>
    <t>Kerbel</t>
  </si>
  <si>
    <t>Borretsch</t>
  </si>
  <si>
    <t>Bohnenkraut</t>
  </si>
  <si>
    <t>Gegen Läuse beim Salat</t>
  </si>
  <si>
    <t>lockt Insekten für die Bestäubung an, hübsch auf dem Salat</t>
  </si>
  <si>
    <t>Diese Rübe wird in nur wenigen Wochen erntereif und kann im Frühjahr und auch im Sommer angebaut werden. Ihre Früchte schmecken sowohl roh als auch gekocht. Sie sind flach, weiß-violett gefärbt und besitzen eine angenehme Schärfe.</t>
  </si>
  <si>
    <t>8-12</t>
  </si>
  <si>
    <t>Sonnige Lage</t>
  </si>
  <si>
    <t>Halbschatten, Sonne (Frühjahr, Herbst)</t>
  </si>
  <si>
    <t>Kommentar</t>
  </si>
  <si>
    <t>Paprika Neusiedler Ideal rot</t>
  </si>
  <si>
    <t>14-21</t>
  </si>
  <si>
    <t>KIEPENKERL</t>
  </si>
  <si>
    <t>Neusiedler Ideal' liefert hohe Erträge in der Ernteperiode von Mitte Juli bis Oktober. Eine Direktaussaat ins Freiland kann ab Mitte Mai erfolgen. Hier kommt es auf einen sonnigen, warmen und windgeschützten Standort an. Wer eher aussäen möchte, kann mit der Vorkultur im Haus ab Februar starten. Für den Gewächshausanbau ist die Sorte ebenfalls geeignet.</t>
  </si>
  <si>
    <t>Bei der Paprika 'Neusiedler Ideal' handelt es sich um eine leckere Speisepaprika mit blockigen Früchten, welche von Grün nach Rot abreifen. Sie können sowohl im grünen als auch im roten Stadium geerntet werden, wobei die voll abgereiften roten Paprika süßer im Geschmack sind. Bezüglich ihrer Inhaltsstoffe unterscheiden sie sich allerdings nicht. Die grünen und roten Früchte sind gleichermaßen gesund, da sie vor allem wichtige Vitamine enthalten, beispielsweise jede Menge Vitamin C. Voll ausgefärbte Früchte haben den höchsten Vitamin C-Gehalt.</t>
  </si>
  <si>
    <t>24.04.23 Bisher kein Saatkorn aufgegangen - bei 2 Versuchen</t>
  </si>
  <si>
    <t>Zwiebel Mix</t>
  </si>
  <si>
    <t>unbekannt</t>
  </si>
  <si>
    <t>Jungzwiebel</t>
  </si>
  <si>
    <t>Schnittlauch</t>
  </si>
  <si>
    <t>20-50 cm</t>
  </si>
  <si>
    <t xml:space="preserve">Eine Direktsaat ist nur auf unkrautfreien Böden empfehlenswert, da die Samen sehr langsam keimen. Bei der Aussaat im Beet wartet man ab, bis der Boden eine Temperatur von fünf Grad Celsius erreicht hat. Wenn Sie die Samen mit grobem Sand mischen, lassen sie sich gleichmäßiger ausstreuen. </t>
  </si>
  <si>
    <t>Günstig ist ein sonniger bis halbschattiger Platz. Eine Abdeckung mit Vlies beschleunigt bei früher Aussaat das Auflaufen.</t>
  </si>
  <si>
    <t>18-20</t>
  </si>
  <si>
    <t>Auf dem Beet darf Schnittlauch nicht nach sich selbst und anderen Allium-Arten angebaut werden, zudem verträgt er sich nicht gut mit Kohlgewächsen.</t>
  </si>
  <si>
    <t xml:space="preserve"> Sein Duft vertreibt unter anderem die Möhrenfliege. Schon wenige Horste in der Nachbarschaft reduzieren bei Erdbeeren die Anfälligkeit für Grauschimmel und bei Gurken die Infektionsgefahr mit Falschem Mehltau.</t>
  </si>
  <si>
    <t>ganzjährig</t>
  </si>
  <si>
    <t>Elektro</t>
  </si>
  <si>
    <t>Eurobox 20 klein</t>
  </si>
  <si>
    <t>leer</t>
  </si>
  <si>
    <t>Eurobox 10</t>
  </si>
  <si>
    <t>Eurobox10</t>
  </si>
  <si>
    <t>Hydro Anzucht</t>
  </si>
  <si>
    <t>Topf</t>
  </si>
  <si>
    <t>Salatparadeiser gestreift SPAR</t>
  </si>
  <si>
    <t>6MC</t>
  </si>
  <si>
    <t>6OC</t>
  </si>
  <si>
    <t>F</t>
  </si>
  <si>
    <t>Kisterl</t>
  </si>
  <si>
    <t>7MC</t>
  </si>
  <si>
    <t>7OC</t>
  </si>
  <si>
    <t>7OD</t>
  </si>
  <si>
    <t>D</t>
  </si>
  <si>
    <t>E</t>
  </si>
  <si>
    <t>Cocktailparadeiser Golden Perfection</t>
  </si>
  <si>
    <t>Cocktailparadeiser Red Currant</t>
  </si>
  <si>
    <t>Cocktailparadeiser Gelbe Johannisbeere</t>
  </si>
  <si>
    <t>0 Ergebnis</t>
  </si>
  <si>
    <t>Blatt Ergebnis</t>
  </si>
  <si>
    <t>Frucht Ergebnis</t>
  </si>
  <si>
    <t>Hülse Ergebnis</t>
  </si>
  <si>
    <t>Kräuter Ergebnis</t>
  </si>
  <si>
    <t>Wurzel Ergebnis</t>
  </si>
  <si>
    <t>Kohl Ergebnis</t>
  </si>
  <si>
    <t>Zwiebel Ergebnis</t>
  </si>
  <si>
    <t>Beeren Ergebnis</t>
  </si>
  <si>
    <t>An einem leicht schattigen, geschützten Standort mit gut durchlässigem Boden</t>
  </si>
  <si>
    <t>Forschungen zufolge ist dies eine der besten Blumen, um Honigbienen in den Garten zu locken. Eine fantastische essbare Blume: zum Kristallisieren für Kuchen, als Beigabe zu Salaten oder zum Einfrieren als Eiswürfel zum Gin &amp; Tonic. Mit einer Höhe von 90 cm bildet Borretsch einen dekorativen, selbstsäenden Hintergrund sowohl für die Gemüse- als auch Blumenrabatte.</t>
  </si>
  <si>
    <t>1,3</t>
  </si>
  <si>
    <t>15-20</t>
  </si>
  <si>
    <t>30-90</t>
  </si>
  <si>
    <t>01.07.-31.08.</t>
  </si>
  <si>
    <t>einjährige Staude 90 cm</t>
  </si>
  <si>
    <t>Thompson&amp;Morgan</t>
  </si>
  <si>
    <t>15.01.-31.03.</t>
  </si>
  <si>
    <t>Paprika Snack Hamik</t>
  </si>
  <si>
    <t>Züchtung ReinSaat. Dekorativer, langgestreckter, fleischiger Chili mit attraktiven lilafarbenen Blüten, Stielen, Kelchen und Blattadern. Die Früchte reifen von lila auf goldbraun zu orangerot ab. Gut geeignet zum Frischverzehr, in Salsas oder zum Einlegen. Für Gewächshaus und geschützte Freilandlagen. Schärfegrad 6 – 7</t>
  </si>
  <si>
    <t>50-80 cm</t>
  </si>
  <si>
    <t>Chili Diavoletto</t>
  </si>
  <si>
    <t>Paradeiser Ochsenherz Tschernij Prinz</t>
  </si>
  <si>
    <t>Halbdeterminante Fleischtomate aus der EHZ von ReinSaat. Die braunroten, flachrunden Früchte sind von herausragend gutem Geschmack. Mehrkammerige, fleischige und sehr saftige Früchte mit einem Fruchtgewicht von ca. 200 – 300 g. Früh einsetzende Ernte. Sehr beliebte Hausgärtnersorte.</t>
  </si>
  <si>
    <t>SPAR Bio</t>
  </si>
  <si>
    <t>Stabtomate</t>
  </si>
  <si>
    <t>15.04.-15.05.</t>
  </si>
  <si>
    <t>ganzjährig im Glashaus</t>
  </si>
  <si>
    <t>Busch, Herz immer stehen lassen, 2- jährig</t>
  </si>
  <si>
    <t>14-28</t>
  </si>
  <si>
    <t xml:space="preserve">halbschattigen Orten mit lockeren, humosen Böden und feinkrümeliger Oberfläche, keine Trockenheit, doch auch Staunässe kann der Pflanze schaden. Ein durchlässiger Boden ist ebenfalls von Vorteil. </t>
  </si>
  <si>
    <r>
      <t xml:space="preserve">Wichtig ist, dass du immer das Herz der Petersilie intakt lässt. Dieses erkennst du an dem verdickten Stiel, an dessen Seite neue Blätter wachsen. Meist befindet er sich in der Mitte der Pflanze. Wenn du ganze Stängel direkt über dem Boden schneidest, kann das Kraut immer wieder neu austreiben. </t>
    </r>
    <r>
      <rPr>
        <b/>
        <sz val="11"/>
        <color theme="1"/>
        <rFont val="Calibri"/>
        <family val="2"/>
        <scheme val="minor"/>
      </rPr>
      <t>Achtung: Sollte deine Pflanze blühen, darfst du die Blätter jedoch nicht mehr verwenden, da sie dann schwer verdaulich sind.</t>
    </r>
  </si>
  <si>
    <t>4 Jahreswechsel mit Doldenblütlern wie z.B. Karrotte</t>
  </si>
  <si>
    <t>Dill</t>
  </si>
  <si>
    <t>Einjährig, Juni</t>
  </si>
  <si>
    <t>80 cm</t>
  </si>
  <si>
    <t>Die feinen Blätterspitzen des Dills können jederzeit geerntet werden und sind zum Sofortverzehr geeignet. Alternativ ist eine Trocknung und besonders auch eine Frostung der Blätter sehr gut möglich. Die Blätter am besten zur Blüte oder kurz vorher ernten, denn dann ist der höchste Gehalt an aromabildenden ätherischen Ölen erreicht.</t>
  </si>
  <si>
    <t>10-30</t>
  </si>
  <si>
    <t>15.05-31.07.</t>
  </si>
  <si>
    <t>15.03-15.04.</t>
  </si>
  <si>
    <t>Freiland, bevorzugt. Halbschattig bis sonnig und wächst auf allen durchlässigen Gartenböden ohne Staunässe</t>
  </si>
  <si>
    <t>Möhren, Gurken oder auch Salat</t>
  </si>
  <si>
    <t>30 cm</t>
  </si>
  <si>
    <t>15.05.-31.07.</t>
  </si>
  <si>
    <t>01.04.-31.07.</t>
  </si>
  <si>
    <t xml:space="preserve">Die aromatischen Blätter können je nach Aussaat ab Juni stets geerntet und direkt roh oder gekocht verzehrt werden. Sie eignen sich auch zur Trocknung oder Frostung. Die Blätter am besten kurz vor der Blüte ernten. Bohnenkraut solltest du allgemein immer gegen Ende des Garvorgangs hinzugeben, da es ein sehr dominantes Aroma entwickelt. </t>
  </si>
  <si>
    <t>Liebstöckel Maggikraut</t>
  </si>
  <si>
    <t>Panteer</t>
  </si>
  <si>
    <t>Mehrjährig, Juni</t>
  </si>
  <si>
    <t>20 cm</t>
  </si>
  <si>
    <t>01.02.-30.04.</t>
  </si>
  <si>
    <t>20</t>
  </si>
  <si>
    <t>Frische, junge Blätter erntest du am besten vor der Blüte. Die Samen werden erst im Spätsommer geerntet, wenn sie braun sind. Liebstöckel ist ein mehrjähriges Kraut, das etwa drei Mal im Jahr geschnitten werden sollte. Ab dem zweiten Jahr lassen sich auch die Wurzeln ernten.</t>
  </si>
  <si>
    <t>Sonnige und warme Standorte im Freiland und schätzt lockere, humose Böden.</t>
  </si>
  <si>
    <t>Koriander</t>
  </si>
  <si>
    <t>Halbschatten für Blattwachstum, sonnig für Samenreife; liebt kalkhaltigen Boden,
regelmäßig gießen, organisch düngen</t>
  </si>
  <si>
    <t>Gewürzkraut für anspruchsvolle Kenner. Grünzeug wie Petersilie und Samenkörner als Gewürz verwendet.</t>
  </si>
  <si>
    <t>100 cm</t>
  </si>
  <si>
    <t>Mai, mit Folgesaat alle 4 Wochen</t>
  </si>
  <si>
    <t>7-21</t>
  </si>
  <si>
    <t>Plantura</t>
  </si>
  <si>
    <t>150 x 150 cm, Rankhilfe erforderlich</t>
  </si>
  <si>
    <t>Zucchini, Kürbisse, rauben zuviel Platz, Tomaten und Paprika wegen der Schädlinge nicht zu Auberginen setzen</t>
  </si>
  <si>
    <t>Auberginen lieben einen nährstoffreichen Boden. Es sollte deshalb am besten vor dem Auspflanzen reifer Kompost oder ein Langzeitdünger eingearbeitet werden, ein geschützter, sonniger Standort an einer Südwand ist ideal. Anbaupause von etwa vier Jahren.</t>
  </si>
  <si>
    <t>Aubergine Melanzani</t>
  </si>
  <si>
    <t>Salbei</t>
  </si>
  <si>
    <t>Oregano</t>
  </si>
  <si>
    <t>Thymian</t>
  </si>
  <si>
    <t>Rosmarin</t>
  </si>
  <si>
    <t>Majoran</t>
  </si>
  <si>
    <t>Knoblauch</t>
  </si>
  <si>
    <t xml:space="preserve">Die Charentais liebt sonnige, geschützte Standorte mit warmen, humusreichen Böden. Saftige Melonen aus Ihrem Garten
Die Zuckermelone bildet süße, faustgroße Früchte mit hellgrüner, genetzter Schale. Die Erntezeit beginnt im August. 
</t>
  </si>
  <si>
    <t>Haupttrieb nach dem 4. oder 5. Blatt schneiden, Seitentriebe, nach dem 3.-5. Blatt schneiden. Die daraus entstehenden Seitentriebe bilden die weiblichen, fruchtenden Blüten. Behang pro Pflanze auf 4–6 Stück begrenzen. Im Glashaus manuell befruchten.  Kalk, Frost, Windempfindlich</t>
  </si>
  <si>
    <t>Gute Drainage, gute Düngung, sonnig, warm, luftig. Hornspäne einmengen,  frostempfindlich</t>
  </si>
  <si>
    <t>7MD</t>
  </si>
  <si>
    <t>7ME</t>
  </si>
  <si>
    <t>7MF</t>
  </si>
  <si>
    <t>Blumen</t>
  </si>
  <si>
    <t>Sonnenhut</t>
  </si>
  <si>
    <t>7UC</t>
  </si>
  <si>
    <t>Erdbeeren mix</t>
  </si>
  <si>
    <t>6UC</t>
  </si>
  <si>
    <t>6MD</t>
  </si>
  <si>
    <t>Platte</t>
  </si>
  <si>
    <t>Datum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</si>
</sst>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8"/>
      <name val="Calibri"/>
      <family val="2"/>
      <scheme val="minor"/>
    </font>
    <font>
      <sz val="14"/>
      <color theme="1"/>
      <name val="Calibri"/>
      <family val="2"/>
      <scheme val="minor"/>
    </font>
    <font>
      <b/>
      <sz val="11"/>
      <name val="Calibri"/>
      <family val="2"/>
      <scheme val="minor"/>
    </font>
    <font>
      <b/>
      <sz val="14"/>
      <color theme="1"/>
      <name val="Calibri"/>
      <family val="2"/>
      <scheme val="minor"/>
    </font>
    <font>
      <sz val="14"/>
      <color theme="9" tint="-0.499984740745262"/>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rgb="FFFFC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CCFF"/>
        <bgColor indexed="64"/>
      </patternFill>
    </fill>
    <fill>
      <patternFill patternType="solid">
        <fgColor theme="8" tint="0.79998168889431442"/>
        <bgColor indexed="64"/>
      </patternFill>
    </fill>
    <fill>
      <patternFill patternType="solid">
        <fgColor rgb="FFFF656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s>
  <cellStyleXfs count="1">
    <xf numFmtId="0" fontId="0" fillId="0" borderId="0"/>
  </cellStyleXfs>
  <cellXfs count="47">
    <xf numFmtId="0" fontId="0" fillId="0" borderId="0" xfId="0"/>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xf>
    <xf numFmtId="49" fontId="0" fillId="0" borderId="0" xfId="0" applyNumberFormat="1" applyAlignment="1">
      <alignment horizontal="center" vertical="center" wrapText="1"/>
    </xf>
    <xf numFmtId="0" fontId="0" fillId="0" borderId="1" xfId="0" applyBorder="1"/>
    <xf numFmtId="0" fontId="0" fillId="6" borderId="0" xfId="0"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0" fillId="7" borderId="0" xfId="0" applyFill="1" applyAlignment="1">
      <alignment horizontal="center" vertical="center" wrapText="1"/>
    </xf>
    <xf numFmtId="0" fontId="4" fillId="7" borderId="0" xfId="0" applyFont="1" applyFill="1" applyAlignment="1">
      <alignment horizontal="center" vertical="center" wrapText="1"/>
    </xf>
    <xf numFmtId="0" fontId="0" fillId="8" borderId="0" xfId="0" applyFill="1" applyAlignment="1">
      <alignment horizontal="center" vertical="center" wrapText="1"/>
    </xf>
    <xf numFmtId="0" fontId="1" fillId="8" borderId="0" xfId="0" applyFont="1" applyFill="1" applyAlignment="1">
      <alignment horizontal="center" vertical="center" wrapText="1"/>
    </xf>
    <xf numFmtId="0" fontId="1" fillId="9" borderId="0" xfId="0" applyFont="1" applyFill="1" applyAlignment="1">
      <alignment horizontal="center" vertical="center" wrapText="1"/>
    </xf>
    <xf numFmtId="0" fontId="0" fillId="9" borderId="0" xfId="0" applyFill="1" applyAlignment="1">
      <alignment horizontal="center" vertical="center" wrapText="1"/>
    </xf>
    <xf numFmtId="0" fontId="0" fillId="10" borderId="0" xfId="0" applyFill="1" applyAlignment="1">
      <alignment horizontal="center" vertical="center" wrapText="1"/>
    </xf>
    <xf numFmtId="0" fontId="1" fillId="10" borderId="0" xfId="0" applyFont="1" applyFill="1" applyAlignment="1">
      <alignment horizontal="center" vertical="center" wrapText="1"/>
    </xf>
    <xf numFmtId="0" fontId="1" fillId="0" borderId="0" xfId="0" applyFont="1"/>
    <xf numFmtId="0" fontId="0" fillId="0" borderId="2" xfId="0" applyBorder="1"/>
    <xf numFmtId="0" fontId="1" fillId="0" borderId="0" xfId="0" applyFont="1" applyAlignment="1">
      <alignment horizontal="left" vertical="center"/>
    </xf>
    <xf numFmtId="0" fontId="0" fillId="0" borderId="0" xfId="0" quotePrefix="1" applyAlignment="1">
      <alignment horizontal="center" vertical="center" wrapText="1"/>
    </xf>
    <xf numFmtId="0" fontId="0" fillId="0" borderId="0" xfId="0" applyAlignment="1">
      <alignment vertical="center"/>
    </xf>
    <xf numFmtId="0" fontId="3" fillId="0" borderId="0" xfId="0" applyFont="1" applyAlignment="1">
      <alignment vertical="center"/>
    </xf>
    <xf numFmtId="0" fontId="6"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horizontal="center" vertical="center"/>
    </xf>
    <xf numFmtId="1" fontId="1" fillId="0" borderId="0" xfId="0" applyNumberFormat="1" applyFont="1" applyAlignment="1">
      <alignment horizontal="center" vertical="center"/>
    </xf>
    <xf numFmtId="0" fontId="1" fillId="3" borderId="0" xfId="0" applyFont="1" applyFill="1" applyAlignment="1">
      <alignment horizontal="center" vertical="center"/>
    </xf>
    <xf numFmtId="49" fontId="1" fillId="0" borderId="0" xfId="0" applyNumberFormat="1" applyFont="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xf numFmtId="49" fontId="0" fillId="0" borderId="0" xfId="0" applyNumberFormat="1" applyAlignment="1">
      <alignment horizontal="center" vertical="center"/>
    </xf>
    <xf numFmtId="0" fontId="0" fillId="0" borderId="1" xfId="0" pivotButton="1" applyBorder="1"/>
    <xf numFmtId="0" fontId="0" fillId="0" borderId="1" xfId="0" applyBorder="1" applyAlignment="1">
      <alignment horizontal="center"/>
    </xf>
    <xf numFmtId="0" fontId="0" fillId="2" borderId="1" xfId="0" applyFill="1" applyBorder="1"/>
    <xf numFmtId="0" fontId="0" fillId="0" borderId="3" xfId="0" applyBorder="1"/>
    <xf numFmtId="0" fontId="0" fillId="0" borderId="3" xfId="0" applyBorder="1" applyAlignment="1">
      <alignment horizontal="center"/>
    </xf>
    <xf numFmtId="0" fontId="0" fillId="0" borderId="4" xfId="0" applyBorder="1"/>
    <xf numFmtId="0" fontId="3" fillId="0" borderId="0" xfId="0" pivotButton="1" applyFont="1" applyAlignment="1">
      <alignment vertical="center"/>
    </xf>
    <xf numFmtId="0" fontId="3" fillId="0" borderId="0" xfId="0" pivotButton="1" applyFont="1" applyAlignment="1">
      <alignment horizontal="center" vertical="center"/>
    </xf>
    <xf numFmtId="0" fontId="3" fillId="0" borderId="0" xfId="0" pivotButton="1" applyFont="1" applyAlignment="1">
      <alignment vertical="center" wrapText="1"/>
    </xf>
    <xf numFmtId="0" fontId="3" fillId="2" borderId="0" xfId="0" applyFont="1" applyFill="1" applyAlignment="1">
      <alignment horizontal="center" vertical="center"/>
    </xf>
    <xf numFmtId="0" fontId="5" fillId="0" borderId="0" xfId="0" applyFont="1" applyAlignment="1">
      <alignment vertical="center"/>
    </xf>
    <xf numFmtId="0" fontId="3" fillId="5" borderId="0" xfId="0" applyFont="1" applyFill="1" applyAlignment="1">
      <alignment horizontal="right" vertical="center"/>
    </xf>
    <xf numFmtId="0" fontId="6" fillId="4" borderId="0" xfId="0" applyFont="1" applyFill="1" applyAlignment="1">
      <alignment horizontal="center" vertical="center" wrapText="1"/>
    </xf>
    <xf numFmtId="0" fontId="0" fillId="0" borderId="1" xfId="0" applyBorder="1" applyAlignment="1">
      <alignment vertical="center"/>
    </xf>
  </cellXfs>
  <cellStyles count="1">
    <cellStyle name="Standard" xfId="0" builtinId="0"/>
  </cellStyles>
  <dxfs count="2247">
    <dxf>
      <alignment horizontal="center"/>
    </dxf>
    <dxf>
      <alignment horizontal="center"/>
    </dxf>
    <dxf>
      <alignment horizontal="center"/>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ont>
        <b val="0"/>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ill>
        <patternFill>
          <bgColor rgb="FFFFC0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horizontal="center"/>
    </dxf>
    <dxf>
      <alignment horizontal="right"/>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sz val="14"/>
      </font>
    </dxf>
    <dxf>
      <font>
        <color theme="9" tint="-0.499984740745262"/>
      </font>
    </dxf>
    <dxf>
      <fill>
        <patternFill patternType="solid">
          <bgColor rgb="FFFFFF00"/>
        </patternFill>
      </fill>
    </dxf>
    <dxf>
      <fill>
        <patternFill patternType="solid">
          <bgColor theme="9"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border>
    </dxf>
    <dxf>
      <border>
        <right/>
        <top/>
        <bottom/>
        <horizontal/>
      </border>
    </dxf>
    <dxf>
      <border>
        <right/>
        <top/>
        <bottom/>
        <horizontal/>
      </border>
    </dxf>
    <dxf>
      <border>
        <right/>
        <top/>
        <bottom/>
        <horizontal/>
      </border>
    </dxf>
    <dxf>
      <border>
        <right/>
        <bottom/>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auto="1"/>
        </patternFill>
      </fill>
    </dxf>
    <dxf>
      <border>
        <right/>
        <top/>
        <bottom/>
        <horizontal/>
      </border>
    </dxf>
    <dxf>
      <border>
        <right/>
        <bottom/>
        <horizontal/>
      </border>
    </dxf>
    <dxf>
      <border>
        <right/>
        <bottom/>
        <horizontal/>
      </border>
    </dxf>
    <dxf>
      <border>
        <right/>
        <top/>
        <horizontal/>
      </border>
    </dxf>
    <dxf>
      <border>
        <left/>
      </border>
    </dxf>
    <dxf>
      <border>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alignment horizontal="center"/>
    </dxf>
  </dxfs>
  <tableStyles count="0" defaultTableStyle="TableStyleMedium2" defaultPivotStyle="PivotStyleLight16"/>
  <colors>
    <mruColors>
      <color rgb="FFFFCCFF"/>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69850</xdr:colOff>
      <xdr:row>8</xdr:row>
      <xdr:rowOff>69850</xdr:rowOff>
    </xdr:from>
    <xdr:to>
      <xdr:col>7</xdr:col>
      <xdr:colOff>641350</xdr:colOff>
      <xdr:row>51</xdr:row>
      <xdr:rowOff>19050</xdr:rowOff>
    </xdr:to>
    <xdr:pic>
      <xdr:nvPicPr>
        <xdr:cNvPr id="2" name="Grafik 1">
          <a:extLst>
            <a:ext uri="{FF2B5EF4-FFF2-40B4-BE49-F238E27FC236}">
              <a16:creationId xmlns:a16="http://schemas.microsoft.com/office/drawing/2014/main" id="{B89967D1-947A-5291-DEC0-157D21E6F1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850" y="1358900"/>
          <a:ext cx="5905500" cy="786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a Rapberger" refreshedDate="45399.765429282408" createdVersion="8" refreshedVersion="8" minRefreshableVersion="3" recordCount="85" xr:uid="{BFE5CF67-F0FA-477A-B7AB-E5A46E769D77}">
  <cacheSource type="worksheet">
    <worksheetSource ref="A1:AF87" sheet="Bepflanzungsschema"/>
  </cacheSource>
  <cacheFields count="32">
    <cacheField name="Kennzahl" numFmtId="0">
      <sharedItems count="73">
        <s v="1OA"/>
        <s v="1OB"/>
        <s v="1OC"/>
        <s v="1UA"/>
        <s v="1UB"/>
        <s v="1UC"/>
        <s v="2OA"/>
        <s v="2OB"/>
        <s v="2OC"/>
        <s v="2UA"/>
        <s v="2UB"/>
        <s v="2UC"/>
        <s v="3OA"/>
        <s v="3OB"/>
        <s v="3OC"/>
        <s v="3UA"/>
        <s v="3UB"/>
        <s v="3UC"/>
        <s v="4OA"/>
        <s v="4OB"/>
        <s v="4OC"/>
        <s v="4UA"/>
        <s v="4UB"/>
        <s v="4UC"/>
        <s v="5MA"/>
        <s v="5MB"/>
        <s v="5OA"/>
        <s v="5OB"/>
        <s v="5UA"/>
        <s v="5UB"/>
        <s v="6MA"/>
        <s v="6MB"/>
        <s v="6MC"/>
        <s v="6MD"/>
        <s v="6OA"/>
        <s v="6OB"/>
        <s v="6OC"/>
        <s v="6UA"/>
        <s v="6UB"/>
        <s v="6UC"/>
        <s v="7MA"/>
        <s v="7MB"/>
        <s v="7MC"/>
        <s v="7MD"/>
        <s v="7ME"/>
        <s v="7MF"/>
        <s v="7OA"/>
        <s v="7OB"/>
        <s v="7OC"/>
        <s v="7OD"/>
        <s v="7UA"/>
        <s v="7UB"/>
        <s v="7UC"/>
        <s v="8L"/>
        <s v="8M"/>
        <s v="8R"/>
        <s v="9L"/>
        <s v="9M"/>
        <s v="9R"/>
        <s v="10L"/>
        <s v="10M"/>
        <s v="10R"/>
        <s v="11L"/>
        <s v="11M"/>
        <s v="11R"/>
        <s v="12L"/>
        <s v="12M"/>
        <s v="12R"/>
        <s v="6OD" u="1"/>
        <s v="6OE" u="1"/>
        <s v="6OF" u="1"/>
        <s v="7OE" u="1"/>
        <s v="7OF" u="1"/>
      </sharedItems>
    </cacheField>
    <cacheField name="Wo" numFmtId="0">
      <sharedItems count="2">
        <s v="Glashaus"/>
        <s v="Freiland"/>
      </sharedItems>
    </cacheField>
    <cacheField name="Lage" numFmtId="0">
      <sharedItems count="4">
        <s v="Norden/Mauer"/>
        <s v="Süden/Thujen"/>
        <s v="Westen/Haus"/>
        <s v="Osten/Wald"/>
      </sharedItems>
    </cacheField>
    <cacheField name="Licht" numFmtId="0">
      <sharedItems/>
    </cacheField>
    <cacheField name="Pflanzort" numFmtId="0">
      <sharedItems count="3">
        <s v="Niederregal"/>
        <s v="Hochregal"/>
        <s v="Boot"/>
      </sharedItems>
    </cacheField>
    <cacheField name="Nummer" numFmtId="0">
      <sharedItems containsSemiMixedTypes="0" containsString="0" containsNumber="1" containsInteger="1" minValue="1" maxValue="12" count="12">
        <n v="1"/>
        <n v="2"/>
        <n v="3"/>
        <n v="4"/>
        <n v="5"/>
        <n v="6"/>
        <n v="7"/>
        <n v="8"/>
        <n v="9"/>
        <n v="10"/>
        <n v="11"/>
        <n v="12"/>
      </sharedItems>
    </cacheField>
    <cacheField name="Höhe" numFmtId="0">
      <sharedItems/>
    </cacheField>
    <cacheField name="Platz" numFmtId="0">
      <sharedItems/>
    </cacheField>
    <cacheField name="Gefäß" numFmtId="0">
      <sharedItems count="15">
        <s v="Stahl 20"/>
        <s v="Stahl 30"/>
        <s v="Topf"/>
        <s v="Platte"/>
        <s v="Eurobox 20 klein"/>
        <s v="Eurobox 10"/>
        <s v="leer"/>
        <s v="Anzuchtschalen"/>
        <s v="Kisterl"/>
        <s v="Eurobox 20"/>
        <s v="Boot"/>
        <s v="Anzuchtschale" u="1"/>
        <s v="Eurobox 30" u="1"/>
        <s v="Hydro Anzucht" u="1"/>
        <s v="2 x Eurobox klein" u="1"/>
      </sharedItems>
    </cacheField>
    <cacheField name="Pflanzhilfe" numFmtId="0">
      <sharedItems containsBlank="1"/>
    </cacheField>
    <cacheField name="Ernährung" numFmtId="0">
      <sharedItems count="3">
        <s v="Erde"/>
        <s v="trocken"/>
        <s v="Hydroponic" u="1"/>
      </sharedItems>
    </cacheField>
    <cacheField name="Anzahl Pflanzen" numFmtId="1">
      <sharedItems containsString="0" containsBlank="1" containsNumber="1" containsInteger="1" minValue="1" maxValue="25" count="12">
        <n v="2"/>
        <n v="10"/>
        <n v="1"/>
        <n v="3"/>
        <m/>
        <n v="25"/>
        <n v="6"/>
        <n v="5"/>
        <n v="20" u="1"/>
        <n v="4" u="1"/>
        <n v="7" u="1"/>
        <n v="8" u="1"/>
      </sharedItems>
    </cacheField>
    <cacheField name="Katalog" numFmtId="0">
      <sharedItems containsMixedTypes="1" containsNumber="1" containsInteger="1" minValue="1" maxValue="52" count="52">
        <n v="17"/>
        <n v="51"/>
        <n v="40"/>
        <n v="50"/>
        <n v="7"/>
        <n v="6"/>
        <n v="1"/>
        <n v="3"/>
        <n v="4"/>
        <n v="41"/>
        <n v="42"/>
        <n v="16"/>
        <s v="Anzucht"/>
        <n v="2"/>
        <n v="49"/>
        <s v="Lager"/>
        <n v="14"/>
        <n v="18"/>
        <n v="8"/>
        <n v="48"/>
        <n v="10"/>
        <n v="11"/>
        <n v="23"/>
        <n v="20"/>
        <n v="12"/>
        <s v="Elektro"/>
        <n v="19"/>
        <n v="13"/>
        <n v="37"/>
        <n v="52"/>
        <n v="34"/>
        <n v="36"/>
        <n v="26"/>
        <n v="39"/>
        <n v="5"/>
        <n v="22"/>
        <n v="31"/>
        <s v="Blumen"/>
        <n v="28"/>
        <n v="21"/>
        <n v="27"/>
        <n v="38"/>
        <n v="9"/>
        <n v="29"/>
        <n v="24"/>
        <n v="32"/>
        <n v="33"/>
        <n v="46" u="1"/>
        <n v="47" u="1"/>
        <n v="35" u="1"/>
        <n v="15" u="1"/>
        <n v="25" u="1"/>
      </sharedItems>
    </cacheField>
    <cacheField name="Pflanze" numFmtId="0">
      <sharedItems count="60">
        <s v="Chili spitz rot"/>
        <s v="Chili Diavoletto"/>
        <s v="Paprika Neusiedler Ideal rot"/>
        <s v="Paprika Snack Hamik"/>
        <s v="Zuckererbse Ambrosia"/>
        <s v="Cocktailparadeiser Golden Perfection"/>
        <s v="Fleischparadeiser Rotes Herz"/>
        <s v="Basilikum Genoveser"/>
        <s v="Kohlrabi Superschmelz"/>
        <s v="Zwiebel Mix"/>
        <s v="Schnittlauch"/>
        <s v="Zuckermelone"/>
        <s v="Baby div."/>
        <s v="Salatparadeiser Quedlinburger Frühe Liebe"/>
        <s v="Paradeiser Ochsenherz Tschernij Prinz"/>
        <s v="Lagerfläche"/>
        <s v="Chili Lemon Drop"/>
        <s v="Paprika spitz rot"/>
        <s v="Knackerbse Spring Blush"/>
        <s v="Salatparadeiser gestreift SPAR"/>
        <s v="Schnittsalat Asia Oriental Mix"/>
        <s v="Schnittsalat Misticanza"/>
        <s v="Aubergine Melanzani"/>
        <s v="Pflücksalat weiß"/>
        <s v="Pflücksalat Red Salat Bowl"/>
        <s v="Elektro"/>
        <s v="Salat div."/>
        <s v="Spinat Matador"/>
        <s v="Kerbel"/>
        <s v="Thymian"/>
        <s v="Karotte Duwicker Streit"/>
        <s v="Radieschen"/>
        <s v="Erdbeeren mix"/>
        <s v="Koriander"/>
        <s v="Wintermarie"/>
        <s v="Kräuter div."/>
        <s v="Zucchini Largo Blanco Serpiente"/>
        <s v="Sonnenhut"/>
        <s v="Gurke Pappelchen"/>
        <s v="Zwiebel Deep Purple"/>
        <s v="Gurke Melothria"/>
        <s v="Borretsch"/>
        <s v="Cocktailparadeiser Red Currant"/>
        <s v="Cocktailparadeiser Gelbe Johannisbeere"/>
        <s v="Petersilie"/>
        <s v="Stangenbohne Cornetti Viola Trionfo"/>
        <s v="Stangenbohne Aloisia schwarz"/>
        <s v="nicht belegt" u="1"/>
        <e v="#N/A" u="1"/>
        <s v="Erbeeren mix" u="1"/>
        <s v="Paradeiser Ochsenherz" u="1"/>
        <s v="Aubergine" u="1"/>
        <s v="Cocktailtomate Golden Perfection" u="1"/>
        <s v="Cocktailtomate Red Currant" u="1"/>
        <s v="Cocktailtomate Gelbe Johannisbeere" u="1"/>
        <s v="Ochsenherz" u="1"/>
        <s v="Stoppelrübe aus der Wildschönau" u="1"/>
        <s v="Paprika Orange Kidds" u="1"/>
        <s v="Gewürztagetes" u="1"/>
        <s v="Arbeitsfläche" u="1"/>
      </sharedItems>
    </cacheField>
    <cacheField name="Vorkultur" numFmtId="0">
      <sharedItems containsMixedTypes="1" containsNumber="1" containsInteger="1" minValue="0" maxValue="0" count="19">
        <s v="01.03."/>
        <s v="15.02.-15.03."/>
        <s v="01.02.-15.04."/>
        <s v="15.01.-31.03."/>
        <s v="01.03.-31.05."/>
        <s v="15.03-15.04"/>
        <s v="01.01.-31.12."/>
        <s v="01.02-31.03."/>
        <s v="01.04."/>
        <n v="0"/>
        <s v="15.03-15.04."/>
        <s v="01.01.-30.04."/>
        <s v="01.02."/>
        <s v="01.01.-30.03."/>
        <s v="nein"/>
        <s v="01.02.-28.02."/>
        <s v="15.04."/>
        <s v="15.04.-30.04."/>
        <s v="01.03.-31.08."/>
      </sharedItems>
    </cacheField>
    <cacheField name="Keimtemperatur C°" numFmtId="0">
      <sharedItems containsMixedTypes="1" containsNumber="1" containsInteger="1" minValue="0" maxValue="0" count="16">
        <s v="25-30"/>
        <s v="20-25"/>
        <s v="10-20"/>
        <s v="18-22"/>
        <s v="16-20"/>
        <s v="18-20"/>
        <s v="24"/>
        <n v="0"/>
        <s v="22-25"/>
        <s v="10-15"/>
        <s v="15"/>
        <s v="8-15"/>
        <s v="25-28"/>
        <s v="15-20"/>
        <s v="20-22"/>
        <s v="12-25"/>
      </sharedItems>
    </cacheField>
    <cacheField name="Keimdauer Tage" numFmtId="0">
      <sharedItems containsMixedTypes="1" containsNumber="1" containsInteger="1" minValue="0" maxValue="0" count="16">
        <s v="10-14"/>
        <s v="14-21"/>
        <s v="8-14"/>
        <s v="8-10"/>
        <s v="14-18"/>
        <s v="5-8"/>
        <s v="14-25"/>
        <s v="7-14"/>
        <n v="0"/>
        <s v="8-15"/>
        <s v="7-21"/>
        <s v="21"/>
        <s v="4-6"/>
        <s v="5-7"/>
        <s v="30-90"/>
        <s v="14-28"/>
      </sharedItems>
    </cacheField>
    <cacheField name="Saattiefe cm" numFmtId="0">
      <sharedItems containsMixedTypes="1" containsNumber="1" containsInteger="1" minValue="0" maxValue="3" count="15">
        <s v="1"/>
        <s v="0,5-1"/>
        <n v="3"/>
        <s v="Licht"/>
        <n v="2"/>
        <s v="1-3"/>
        <n v="0"/>
        <s v="1-2"/>
        <s v="0,2"/>
        <s v="3"/>
        <s v="1-2,5"/>
        <s v="1-1,5"/>
        <s v="0,5"/>
        <s v="2-3"/>
        <s v="1,3"/>
      </sharedItems>
    </cacheField>
    <cacheField name="Aussetzen" numFmtId="0">
      <sharedItems containsMixedTypes="1" containsNumber="1" containsInteger="1" minValue="0" maxValue="0" count="12">
        <s v="01.05."/>
        <s v="15.04.-30.04."/>
        <s v="01.04.-01.06."/>
        <n v="0"/>
        <s v="15.05-31.05."/>
        <s v="01.04."/>
        <s v="15.04.-15.05."/>
        <s v="01.02."/>
        <s v="15.05."/>
        <s v="01.03."/>
        <s v="01.04.-31.07."/>
        <s v="01.03.-31.08."/>
      </sharedItems>
    </cacheField>
    <cacheField name="Direktsaat" numFmtId="0">
      <sharedItems containsMixedTypes="1" containsNumber="1" containsInteger="1" minValue="0" maxValue="0" count="20">
        <s v="nein"/>
        <s v="15.05."/>
        <s v="15.05.-15.06."/>
        <s v="01.03.-31.05."/>
        <s v="31.05.-31.07."/>
        <s v="01.04.-31.05."/>
        <s v="01.03.-30.04."/>
        <s v="01.05."/>
        <n v="0"/>
        <s v="15.05-31.05."/>
        <s v="15.07.-01.10."/>
        <s v="01.02.-01.09."/>
        <s v="01.03.-30.09."/>
        <s v="01.03.-01.09."/>
        <s v="28.02.-30.06."/>
        <s v="15.03.-15.09."/>
        <s v="01.04.-31.07."/>
        <s v="15.07.-31.08. "/>
        <s v="01.05.-30.06."/>
        <s v="01.03.-31.08."/>
      </sharedItems>
    </cacheField>
    <cacheField name="Abstände Pflanze cm" numFmtId="0">
      <sharedItems containsMixedTypes="1" containsNumber="1" containsInteger="1" minValue="0" maxValue="100"/>
    </cacheField>
    <cacheField name="Abstände Reihe cm" numFmtId="0">
      <sharedItems containsMixedTypes="1" containsNumber="1" containsInteger="1" minValue="0" maxValue="150"/>
    </cacheField>
    <cacheField name="Ernte Start" numFmtId="0">
      <sharedItems containsMixedTypes="1" containsNumber="1" containsInteger="1" minValue="0" maxValue="0"/>
    </cacheField>
    <cacheField name="Wuchs" numFmtId="0">
      <sharedItems containsMixedTypes="1" containsNumber="1" containsInteger="1" minValue="0" maxValue="0"/>
    </cacheField>
    <cacheField name="Samen" numFmtId="0">
      <sharedItems containsMixedTypes="1" containsNumber="1" containsInteger="1" minValue="0" maxValue="0"/>
    </cacheField>
    <cacheField name="Pflanzpartner" numFmtId="0">
      <sharedItems containsMixedTypes="1" containsNumber="1" containsInteger="1" minValue="0" maxValue="0"/>
    </cacheField>
    <cacheField name="Beipflanze" numFmtId="0">
      <sharedItems containsMixedTypes="1" containsNumber="1" containsInteger="1" minValue="0" maxValue="0"/>
    </cacheField>
    <cacheField name="Pflanzgegner" numFmtId="0">
      <sharedItems containsMixedTypes="1" containsNumber="1" containsInteger="1" minValue="0" maxValue="0"/>
    </cacheField>
    <cacheField name="Anspruch Pflege Pflanze" numFmtId="0">
      <sharedItems containsMixedTypes="1" containsNumber="1" containsInteger="1" minValue="0" maxValue="0" count="26" longText="1">
        <n v="0"/>
        <s v="mehrjährig! Jungpflanzen wachsen langsam, vor Frost schützen, langsam abhärten, feuchtes, lockeres und nährstoffreichen Substrat, Boden im Idealfall einen neutralen bis leicht sauren pH-Wert, mit Kompost düngen"/>
        <s v="Neusiedler Ideal' liefert hohe Erträge in der Ernteperiode von Mitte Juli bis Oktober. Eine Direktaussaat ins Freiland kann ab Mitte Mai erfolgen. Hier kommt es auf einen sonnigen, warmen und windgeschützten Standort an. Wer eher aussäen möchte, kann mit der Vorkultur im Haus ab Februar starten. Für den Gewächshausanbau ist die Sorte ebenfalls geeignet."/>
        <s v="Halbschatten, Erbsen nicht zu spät aussäen_x000a_Die meisten Erbsensorten bilden an kühlen, kurzen Tagen nur Blätter. Erst wenn die Tage länger werden und die Temperaturen steigen, meist ab Mitte Mai, entwickeln sich Blüten. Wer viel ernten möchte, sät die Erbsen so früh wie möglich, damit die Pflanzen vor der Blütenbildung noch lange wachsen,  empfehlenswert ist es, die Erbsen spätestens Ende April zu säen."/>
        <s v="sonniger Standort"/>
        <s v="Ausgeizen, Mulchen, warm, Schutz vor Regen, mäßig von unten gießen"/>
        <s v="sonniger Standort , durchlässiger Boden"/>
        <s v="Frostfrei! Schatten, Knolle kein Erdkontakt wegen Schimmel. Kohlanbaufläche jährlich wechseln! Nährstoffreicher, humosen Boder. Bei Trockenheit regelmäßig gießen, damit die Kohlrabi nicht platzen. Wasser- und Nährstoffmangel führt zu Wachstumsstockungen, mehrmals düngen."/>
        <s v="sonnig"/>
        <s v="Günstig ist ein sonniger bis halbschattiger Platz. Eine Abdeckung mit Vlies beschleunigt bei früher Aussaat das Auflaufen."/>
        <s v="Haupttrieb nach dem 4. oder 5. Blatt schneiden, Seitentriebe, nach dem 3.-5. Blatt schneiden. Die daraus entstehenden Seitentriebe bilden die weiblichen, fruchtenden Blüten. Behang pro Pflanze auf 4–6 Stück begrenzen. Im Glashaus manuell befruchten.  Kalk, Frost, Windempfindlich"/>
        <s v="nicht ausgeizen, Mulchen, warm, Schutz vor Regen, mäßig von unten gießen"/>
        <s v="frosttolerant, Direktsaat Freiland unter Vlies ab Februar/März und Juli bis Ende September, Voranzucht für frostfreies Gewächshaus ab Juli bis Jänner für satzweisen Anbau, Kalthaus Februar bis April"/>
        <s v="Direktsaat ab Februar mit Folgesaaten bis Anfang September."/>
        <s v="Auberginen lieben einen nährstoffreichen Boden. Es sollte deshalb am besten vor dem Auspflanzen reifer Kompost oder ein Langzeitdünger eingearbeitet werden, ein geschützter, sonniger Standort an einer Südwand ist ideal. Anbaupause von etwa vier Jahren."/>
        <s v="darf nie austrocknen bei Neusaat, Unkraut entfernen, Vereinzeln bei Bedarf, sonnig"/>
        <s v="Halbschatten, Sonne (Frühjahr, Herbst)"/>
        <s v="Halbschatten für Blattwachstum, sonnig für Samenreife; liebt kalkhaltigen Boden,_x000a_regelmäßig gießen, organisch düngen"/>
        <s v="sonnig feucht bevorzugt, Boden locker gut feucht"/>
        <s v="Gute Drainage, gute Düngung, sonnig, warm, luftig. Hornspäne einmengen,  frostempfindlich"/>
        <s v="nicht pikieren! Die Pflänzchen werden bis zum ersten Blattpaar eingesetzt. Wenn der Stiel in der Erde ist, kann er neue Wurzeln bilden. Nach dem Pflanzen die Gurken unbedingt ausgiebig gießen. Besonders schlecht ist Staunässe. "/>
        <s v="An einem leicht schattigen, geschützten Standort mit gut durchlässigem Boden"/>
        <s v="Das übliche Ausgeizen auf nur 1–3 Haupttriebe ist nicht sinnvoll. Wir empfehlen, die Pflanzen lediglich auszulichten, sonniger Standort"/>
        <s v="nicht ausgeizen, sonniger Standort"/>
        <s v="halbschattigen Orten mit lockeren, humosen Böden und feinkrümeliger Oberfläche, keine Trockenheit, doch auch Staunässe kann der Pflanze schaden. Ein durchlässiger Boden ist ebenfalls von Vorteil. "/>
        <s v="nicht pikieren, Übernacht mit Kamillentee einweiken vor Aussaat, sonnig, mäßig feucht, wärmebedürftig, gute Vorfruchtwirkung"/>
      </sharedItems>
    </cacheField>
    <cacheField name="Details und Beschreibung" numFmtId="0">
      <sharedItems containsMixedTypes="1" containsNumber="1" containsInteger="1" minValue="0" maxValue="0" longText="1"/>
    </cacheField>
    <cacheField name="Kommentar" numFmtId="0">
      <sharedItems containsMixedTypes="1" containsNumber="1" containsInteger="1" minValue="0" maxValue="0" longText="1"/>
    </cacheField>
    <cacheField name="Gruppe" numFmtId="0">
      <sharedItems containsMixedTypes="1" containsNumber="1" containsInteger="1" minValue="0" maxValue="0" count="9">
        <s v="Frucht"/>
        <s v="Hülse"/>
        <s v="Kräuter"/>
        <s v="Kohl"/>
        <s v="Zwiebel"/>
        <n v="0"/>
        <s v="Blatt"/>
        <s v="Wurzel"/>
        <s v="Beere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x v="0"/>
    <x v="0"/>
    <x v="0"/>
    <s v="Sonne"/>
    <x v="0"/>
    <x v="0"/>
    <s v="oben"/>
    <s v="A"/>
    <x v="0"/>
    <s v="nein"/>
    <x v="0"/>
    <x v="0"/>
    <x v="0"/>
    <x v="0"/>
    <x v="0"/>
    <x v="0"/>
    <x v="0"/>
    <x v="0"/>
    <x v="0"/>
    <x v="0"/>
    <n v="40"/>
    <n v="40"/>
    <s v="August"/>
    <s v="50-80 cm"/>
    <s v="SPAR Bio"/>
    <n v="0"/>
    <n v="0"/>
    <n v="0"/>
    <x v="0"/>
    <n v="0"/>
    <n v="0"/>
    <x v="0"/>
  </r>
  <r>
    <x v="0"/>
    <x v="0"/>
    <x v="0"/>
    <s v="Sonne"/>
    <x v="0"/>
    <x v="0"/>
    <s v="oben"/>
    <s v="A"/>
    <x v="0"/>
    <s v="nein"/>
    <x v="0"/>
    <x v="0"/>
    <x v="1"/>
    <x v="1"/>
    <x v="1"/>
    <x v="1"/>
    <x v="0"/>
    <x v="0"/>
    <x v="1"/>
    <x v="0"/>
    <n v="50"/>
    <n v="70"/>
    <s v="Juli"/>
    <s v="50-80 cm"/>
    <s v="REINSAAT"/>
    <s v="Rucola, Radieschen, Pertersilie, Basilikum"/>
    <n v="0"/>
    <n v="0"/>
    <x v="1"/>
    <s v="Züchtung ReinSaat. Dekorativer, langgestreckter, fleischiger Chili mit attraktiven lilafarbenen Blüten, Stielen, Kelchen und Blattadern. Die Früchte reifen von lila auf goldbraun zu orangerot ab. Gut geeignet zum Frischverzehr, in Salsas oder zum Einlegen. Für Gewächshaus und geschützte Freilandlagen. Schärfegrad 6 – 7"/>
    <n v="0"/>
    <x v="0"/>
  </r>
  <r>
    <x v="1"/>
    <x v="0"/>
    <x v="0"/>
    <s v="Sonne"/>
    <x v="0"/>
    <x v="0"/>
    <s v="oben"/>
    <s v="B"/>
    <x v="0"/>
    <s v="nein"/>
    <x v="0"/>
    <x v="0"/>
    <x v="2"/>
    <x v="2"/>
    <x v="2"/>
    <x v="1"/>
    <x v="1"/>
    <x v="1"/>
    <x v="2"/>
    <x v="1"/>
    <n v="50"/>
    <n v="70"/>
    <s v="Juli"/>
    <n v="0"/>
    <s v="KIEPENKERL"/>
    <s v="Salat"/>
    <s v="Tagetes gegen Nematoden, Viren und weiße Fliege"/>
    <n v="0"/>
    <x v="2"/>
    <s v="Bei der Paprika 'Neusiedler Ideal' handelt es sich um eine leckere Speisepaprika mit blockigen Früchten, welche von Grün nach Rot abreifen. Sie können sowohl im grünen als auch im roten Stadium geerntet werden, wobei die voll abgereiften roten Paprika süßer im Geschmack sind. Bezüglich ihrer Inhaltsstoffe unterscheiden sie sich allerdings nicht. Die grünen und roten Früchte sind gleichermaßen gesund, da sie vor allem wichtige Vitamine enthalten, beispielsweise jede Menge Vitamin C. Voll ausgefärbte Früchte haben den höchsten Vitamin C-Gehalt."/>
    <n v="0"/>
    <x v="0"/>
  </r>
  <r>
    <x v="1"/>
    <x v="0"/>
    <x v="0"/>
    <s v="Sonne"/>
    <x v="0"/>
    <x v="0"/>
    <s v="oben"/>
    <s v="B"/>
    <x v="0"/>
    <s v="nein"/>
    <x v="0"/>
    <x v="0"/>
    <x v="3"/>
    <x v="3"/>
    <x v="3"/>
    <x v="1"/>
    <x v="1"/>
    <x v="1"/>
    <x v="1"/>
    <x v="2"/>
    <n v="50"/>
    <n v="70"/>
    <s v="Juli"/>
    <s v="20-50 cm"/>
    <s v="REINSAAT"/>
    <s v="Salat"/>
    <s v="Tagetes gegen Nematoden, Viren und weiße Fliege"/>
    <n v="0"/>
    <x v="0"/>
    <n v="0"/>
    <n v="0"/>
    <x v="0"/>
  </r>
  <r>
    <x v="2"/>
    <x v="0"/>
    <x v="0"/>
    <s v="Sonne"/>
    <x v="0"/>
    <x v="0"/>
    <s v="oben"/>
    <s v="C"/>
    <x v="1"/>
    <s v="Gitter"/>
    <x v="0"/>
    <x v="1"/>
    <x v="4"/>
    <x v="4"/>
    <x v="4"/>
    <x v="2"/>
    <x v="2"/>
    <x v="2"/>
    <x v="3"/>
    <x v="3"/>
    <n v="3"/>
    <n v="30"/>
    <s v="Mai"/>
    <s v="ca. 70 cm, ohne Rankhilfe möglich"/>
    <s v="REINSAAT"/>
    <s v="Dill, Fenchel, Gurken, Kohlarten, Mais, Möhren, Kohlrabi, Kopfsalat, Radieschen, Zucchini"/>
    <n v="0"/>
    <s v="Bohnen, Kartoffeln, Knoblauch, Lauch, Tomaten, Zwiebeln"/>
    <x v="3"/>
    <s v="Mittelfrühe, ca. 70 cm hohe Zuckererbse mit hoher Ertragsleistung. Die standfeste Sorte benötigt keine Rankhilfe. Jung, mit noch nicht entwickelten Samen sind die mittelgroßen, hellgrünen Hülsen besonders süß und geschmackvoll."/>
    <n v="0"/>
    <x v="1"/>
  </r>
  <r>
    <x v="3"/>
    <x v="0"/>
    <x v="0"/>
    <s v="Sonne"/>
    <x v="0"/>
    <x v="0"/>
    <s v="unten"/>
    <s v="A"/>
    <x v="1"/>
    <s v="Tomatenhaken"/>
    <x v="0"/>
    <x v="2"/>
    <x v="5"/>
    <x v="5"/>
    <x v="5"/>
    <x v="1"/>
    <x v="3"/>
    <x v="3"/>
    <x v="4"/>
    <x v="0"/>
    <n v="50"/>
    <n v="100"/>
    <s v="Juni"/>
    <s v="unbegrenzt"/>
    <s v="Arche Noah"/>
    <s v="_x0009_Buschbohne, Knoblauch, Kohl, Kohlrabi"/>
    <s v="Basilikum, gegen Mehltau und weiße Fliege_x000a_Tagetes, gegen Nematoden, Viren und weiße Fliege"/>
    <s v="Erbse, Fenchel, Kartoffeln"/>
    <x v="4"/>
    <s v="Goldgelbe Cocktailtomate. Die Früchte sind rund und werden ungefähr 2,5-3cm groß. Im Geschmack sehr süß und aromatisch. Unbegrenzt wachsende Pflanze, entwickelt viele Nebentriebe. Seit 1985 aus Tartu, Estland."/>
    <n v="0"/>
    <x v="0"/>
  </r>
  <r>
    <x v="3"/>
    <x v="0"/>
    <x v="0"/>
    <s v="Sonne"/>
    <x v="0"/>
    <x v="0"/>
    <s v="unten"/>
    <s v="A"/>
    <x v="1"/>
    <s v="Tomatenhaken"/>
    <x v="0"/>
    <x v="2"/>
    <x v="6"/>
    <x v="6"/>
    <x v="5"/>
    <x v="1"/>
    <x v="3"/>
    <x v="3"/>
    <x v="4"/>
    <x v="0"/>
    <n v="50"/>
    <n v="100"/>
    <s v="August"/>
    <s v="unbegrenzt, locker belaubt, wirkt im Jugendstadium schwach, bisweilen bräunliche Blätter die später verschwinden"/>
    <s v="Arche Noah"/>
    <s v="_x0009_Buschbohne, Knoblauch, Kohl, Kohlrabi"/>
    <s v="Basilikum, gegen Mehltau und weiße Fliege_x000a_Tagetes, gegen Nematoden, Viren und weiße Fliege"/>
    <s v="Erbse, Fenchel, Kartoffeln"/>
    <x v="5"/>
    <s v="Das rotes Ochsenherz lässt sich vielfältig verwenden, für Suppen, Saucen und Salate. Die Ausgewogenheit von Süße und Säure ergibt einen sehr guten Geschmack, herzförmig, schwach gerippt und 10-12 cm groß. Ursprünglich stammt die Sorte aus Kroatien."/>
    <n v="0"/>
    <x v="0"/>
  </r>
  <r>
    <x v="3"/>
    <x v="0"/>
    <x v="0"/>
    <s v="Sonne"/>
    <x v="0"/>
    <x v="0"/>
    <s v="unten"/>
    <s v="A"/>
    <x v="1"/>
    <s v="Tomatenhaken"/>
    <x v="0"/>
    <x v="2"/>
    <x v="7"/>
    <x v="7"/>
    <x v="6"/>
    <x v="3"/>
    <x v="4"/>
    <x v="3"/>
    <x v="0"/>
    <x v="4"/>
    <n v="30"/>
    <n v="30"/>
    <s v="Ganzjährig"/>
    <s v="Busch bis 50 cm"/>
    <s v="samenmaier Bio"/>
    <s v="Tomaten, Gurken, Kohl_x0009_gegen Mehltau und weiße Fliege"/>
    <n v="0"/>
    <n v="0"/>
    <x v="6"/>
    <s v="Bekommt sie genügend Wärme, wächst sie sehr rasch."/>
    <n v="0"/>
    <x v="2"/>
  </r>
  <r>
    <x v="4"/>
    <x v="0"/>
    <x v="0"/>
    <s v="Sonne"/>
    <x v="0"/>
    <x v="0"/>
    <s v="unten"/>
    <s v="B"/>
    <x v="0"/>
    <s v="nein"/>
    <x v="0"/>
    <x v="3"/>
    <x v="8"/>
    <x v="8"/>
    <x v="1"/>
    <x v="4"/>
    <x v="5"/>
    <x v="4"/>
    <x v="5"/>
    <x v="5"/>
    <n v="60"/>
    <n v="60"/>
    <s v="August"/>
    <s v="Riesenkohlrabi, bis zu 8 kg"/>
    <s v="samenmaier Bio"/>
    <s v="Bohnen, Erbsen, Kartoffeln, Kopfsalat, Tomaten, Radieschen, Rote Bete, Sellerie, Spinat, Lauch"/>
    <n v="0"/>
    <n v="0"/>
    <x v="7"/>
    <s v=" Zur Lagerung und zum Tiefgefrieren bestens geeignet. Alle Kohlarten sind von allen Gemüse-Arten am längsten lagerbar und gelten als typisches Wintergemüse. Schon seit der Steinzeit wird vermutet, dass Kohl als Lebensmittel für uns gedient hat."/>
    <n v="0"/>
    <x v="3"/>
  </r>
  <r>
    <x v="5"/>
    <x v="0"/>
    <x v="0"/>
    <s v="Sonne"/>
    <x v="0"/>
    <x v="0"/>
    <s v="unten"/>
    <s v="C"/>
    <x v="0"/>
    <s v="nein"/>
    <x v="0"/>
    <x v="1"/>
    <x v="9"/>
    <x v="9"/>
    <x v="7"/>
    <x v="2"/>
    <x v="6"/>
    <x v="5"/>
    <x v="5"/>
    <x v="6"/>
    <n v="5"/>
    <n v="25"/>
    <s v="Mai"/>
    <s v="Jungzwiebel Mai/Juni, Knolle August (wenn Laub knickt)"/>
    <s v="unbekannt"/>
    <s v="Bohnenkraut, Erdbeeren, Dill, Kopfsalat,_x000a_Möhren, Rote Bete"/>
    <n v="0"/>
    <s v="Bohnen, Erbsen, Kohl"/>
    <x v="8"/>
    <s v="Jungzwiebel"/>
    <n v="0"/>
    <x v="4"/>
  </r>
  <r>
    <x v="5"/>
    <x v="0"/>
    <x v="0"/>
    <s v="Sonne"/>
    <x v="0"/>
    <x v="0"/>
    <s v="unten"/>
    <s v="C"/>
    <x v="0"/>
    <s v="nein"/>
    <x v="0"/>
    <x v="0"/>
    <x v="10"/>
    <x v="10"/>
    <x v="7"/>
    <x v="5"/>
    <x v="6"/>
    <x v="1"/>
    <x v="5"/>
    <x v="6"/>
    <n v="0"/>
    <s v="Streu"/>
    <s v="Ganzjährig"/>
    <s v="20-50 cm"/>
    <s v="unbekannt"/>
    <s v=" Sein Duft vertreibt unter anderem die Möhrenfliege. Schon wenige Horste in der Nachbarschaft reduzieren bei Erdbeeren die Anfälligkeit für Grauschimmel und bei Gurken die Infektionsgefahr mit Falschem Mehltau."/>
    <n v="0"/>
    <s v="Auf dem Beet darf Schnittlauch nicht nach sich selbst und anderen Allium-Arten angebaut werden, zudem verträgt er sich nicht gut mit Kohlgewächsen."/>
    <x v="9"/>
    <s v="Eine Direktsaat ist nur auf unkrautfreien Böden empfehlenswert, da die Samen sehr langsam keimen. Bei der Aussaat im Beet wartet man ab, bis der Boden eine Temperatur von fünf Grad Celsius erreicht hat. Wenn Sie die Samen mit grobem Sand mischen, lassen sie sich gleichmäßiger ausstreuen. "/>
    <n v="0"/>
    <x v="2"/>
  </r>
  <r>
    <x v="6"/>
    <x v="0"/>
    <x v="0"/>
    <s v="Sonne"/>
    <x v="0"/>
    <x v="1"/>
    <s v="oben"/>
    <s v="A"/>
    <x v="2"/>
    <s v="Tomatenhaken"/>
    <x v="0"/>
    <x v="2"/>
    <x v="11"/>
    <x v="11"/>
    <x v="8"/>
    <x v="6"/>
    <x v="7"/>
    <x v="6"/>
    <x v="0"/>
    <x v="7"/>
    <n v="50"/>
    <n v="100"/>
    <s v="August"/>
    <s v="Rankend, Aufbinden"/>
    <s v="own grown"/>
    <n v="0"/>
    <n v="0"/>
    <n v="0"/>
    <x v="10"/>
    <s v="Die Charentais liebt sonnige, geschützte Standorte mit warmen, humusreichen Böden. Saftige Melonen aus Ihrem Garten_x000a_Die Zuckermelone bildet süße, faustgroße Früchte mit hellgrüner, genetzter Schale. Die Erntezeit beginnt im August. _x000a_"/>
    <n v="0"/>
    <x v="0"/>
  </r>
  <r>
    <x v="6"/>
    <x v="0"/>
    <x v="0"/>
    <s v="Sonne"/>
    <x v="0"/>
    <x v="1"/>
    <s v="oben"/>
    <s v="A"/>
    <x v="2"/>
    <s v="Tomatenhaken"/>
    <x v="0"/>
    <x v="2"/>
    <x v="11"/>
    <x v="11"/>
    <x v="8"/>
    <x v="6"/>
    <x v="7"/>
    <x v="6"/>
    <x v="0"/>
    <x v="7"/>
    <n v="50"/>
    <n v="100"/>
    <s v="August"/>
    <s v="Rankend, Aufbinden"/>
    <s v="own grown"/>
    <n v="0"/>
    <n v="0"/>
    <n v="0"/>
    <x v="10"/>
    <s v="Die Charentais liebt sonnige, geschützte Standorte mit warmen, humusreichen Böden. Saftige Melonen aus Ihrem Garten_x000a_Die Zuckermelone bildet süße, faustgroße Früchte mit hellgrüner, genetzter Schale. Die Erntezeit beginnt im August. _x000a_"/>
    <n v="0"/>
    <x v="0"/>
  </r>
  <r>
    <x v="7"/>
    <x v="0"/>
    <x v="0"/>
    <s v="Sonne"/>
    <x v="0"/>
    <x v="1"/>
    <s v="oben"/>
    <s v="B"/>
    <x v="3"/>
    <s v="Licht"/>
    <x v="0"/>
    <x v="4"/>
    <x v="12"/>
    <x v="12"/>
    <x v="9"/>
    <x v="7"/>
    <x v="8"/>
    <x v="6"/>
    <x v="3"/>
    <x v="8"/>
    <n v="0"/>
    <n v="0"/>
    <n v="0"/>
    <n v="0"/>
    <n v="0"/>
    <n v="0"/>
    <n v="0"/>
    <n v="0"/>
    <x v="0"/>
    <n v="0"/>
    <n v="0"/>
    <x v="5"/>
  </r>
  <r>
    <x v="8"/>
    <x v="0"/>
    <x v="0"/>
    <s v="Sonne"/>
    <x v="0"/>
    <x v="1"/>
    <s v="oben"/>
    <s v="C"/>
    <x v="3"/>
    <s v="Licht"/>
    <x v="0"/>
    <x v="4"/>
    <x v="12"/>
    <x v="12"/>
    <x v="9"/>
    <x v="7"/>
    <x v="8"/>
    <x v="6"/>
    <x v="3"/>
    <x v="8"/>
    <n v="0"/>
    <n v="0"/>
    <n v="0"/>
    <n v="0"/>
    <n v="0"/>
    <n v="0"/>
    <n v="0"/>
    <n v="0"/>
    <x v="0"/>
    <n v="0"/>
    <n v="0"/>
    <x v="5"/>
  </r>
  <r>
    <x v="9"/>
    <x v="0"/>
    <x v="0"/>
    <s v="Sonne"/>
    <x v="0"/>
    <x v="1"/>
    <s v="unten"/>
    <s v="A"/>
    <x v="1"/>
    <s v="Tomatenhaken"/>
    <x v="0"/>
    <x v="2"/>
    <x v="13"/>
    <x v="13"/>
    <x v="5"/>
    <x v="1"/>
    <x v="3"/>
    <x v="3"/>
    <x v="4"/>
    <x v="0"/>
    <n v="50"/>
    <n v="80"/>
    <s v="Juli"/>
    <s v="Stabtomate wächst bis 1,2 m hoch und hat kartoffelblättriges lockeres Laub"/>
    <s v="Arche Noah"/>
    <s v="_x0009_Buschbohne, Knoblauch, Kohl, Kohlrabi"/>
    <s v="Basilikum, gegen Mehltau und weiße Fliege_x000a_Tagetes, gegen Nematoden, Viren und weiße Fliege"/>
    <s v="Erbse, Fenchel, Kartoffeln"/>
    <x v="11"/>
    <s v="Im Salat kommt der süß-aromatische Geschmack hervorragend zur Geltung. Extrem frühreifend ist die Sorte auch für rauhere Lagen empfehlenswert._x000a_Die roten, runden, ca. 4 cm großen Früchte kann man die ganze Saison über ernten."/>
    <n v="0"/>
    <x v="0"/>
  </r>
  <r>
    <x v="9"/>
    <x v="0"/>
    <x v="0"/>
    <s v="Sonne"/>
    <x v="0"/>
    <x v="1"/>
    <s v="unten"/>
    <s v="A"/>
    <x v="1"/>
    <s v="Tomatenhaken"/>
    <x v="0"/>
    <x v="2"/>
    <x v="14"/>
    <x v="14"/>
    <x v="7"/>
    <x v="1"/>
    <x v="3"/>
    <x v="1"/>
    <x v="6"/>
    <x v="9"/>
    <n v="50"/>
    <n v="60"/>
    <s v="Juli"/>
    <s v="Stabtomate"/>
    <s v="REINSAAT"/>
    <s v="_x0009_Buschbohne, Knoblauch, Kohl, Kohlrabi"/>
    <s v="Basilikum, gegen Mehltau und weiße Fliege_x000a_Tagetes, gegen Nematoden, Viren und weiße Fliege"/>
    <s v="Erbse, Fenchel, Kartoffeln"/>
    <x v="0"/>
    <s v="Halbdeterminante Fleischtomate aus der EHZ von ReinSaat. Die braunroten, flachrunden Früchte sind von herausragend gutem Geschmack. Mehrkammerige, fleischige und sehr saftige Früchte mit einem Fruchtgewicht von ca. 200 – 300 g. Früh einsetzende Ernte. Sehr beliebte Hausgärtnersorte."/>
    <n v="0"/>
    <x v="0"/>
  </r>
  <r>
    <x v="10"/>
    <x v="0"/>
    <x v="0"/>
    <s v="Sonne"/>
    <x v="0"/>
    <x v="1"/>
    <s v="unten"/>
    <s v="B"/>
    <x v="3"/>
    <s v="nein"/>
    <x v="1"/>
    <x v="4"/>
    <x v="15"/>
    <x v="15"/>
    <x v="9"/>
    <x v="7"/>
    <x v="8"/>
    <x v="6"/>
    <x v="3"/>
    <x v="8"/>
    <n v="0"/>
    <n v="0"/>
    <n v="0"/>
    <n v="0"/>
    <n v="0"/>
    <n v="0"/>
    <n v="0"/>
    <n v="0"/>
    <x v="0"/>
    <n v="0"/>
    <n v="0"/>
    <x v="5"/>
  </r>
  <r>
    <x v="11"/>
    <x v="0"/>
    <x v="0"/>
    <s v="Sonne"/>
    <x v="0"/>
    <x v="1"/>
    <s v="unten"/>
    <s v="C"/>
    <x v="3"/>
    <s v="nein"/>
    <x v="1"/>
    <x v="4"/>
    <x v="15"/>
    <x v="15"/>
    <x v="9"/>
    <x v="7"/>
    <x v="8"/>
    <x v="6"/>
    <x v="3"/>
    <x v="8"/>
    <n v="0"/>
    <n v="0"/>
    <n v="0"/>
    <n v="0"/>
    <n v="0"/>
    <n v="0"/>
    <n v="0"/>
    <n v="0"/>
    <x v="0"/>
    <n v="0"/>
    <n v="0"/>
    <x v="5"/>
  </r>
  <r>
    <x v="12"/>
    <x v="0"/>
    <x v="0"/>
    <s v="Sonne"/>
    <x v="0"/>
    <x v="2"/>
    <s v="oben"/>
    <s v="A"/>
    <x v="0"/>
    <s v="Stäbe"/>
    <x v="0"/>
    <x v="0"/>
    <x v="16"/>
    <x v="16"/>
    <x v="0"/>
    <x v="0"/>
    <x v="0"/>
    <x v="0"/>
    <x v="0"/>
    <x v="0"/>
    <n v="40"/>
    <n v="40"/>
    <s v="August"/>
    <s v="80 cm, Anstäben"/>
    <s v="samen greisslerei"/>
    <s v="Rucola, Radieschen, Pertersilie, Basilikum"/>
    <n v="0"/>
    <n v="0"/>
    <x v="1"/>
    <s v="Diese Sorte hat dünnwandige, leuchtend gelbe Schoten, die eine ausgesprochene Schärfe aufweisen (Schärfegrad 7 – 8). Zusätzlich besitzen sie ein typisches Zitronenaroma. Die Pflanze erreicht im Freiland bis 80 cm Wuchshöhe. Sie ist mehrjährig, aber nicht frosthart!_x000a_Nutzung: Chilischoten zum Würzen frisch oder getrocknet. Daraus läßt sich ein farblich sehr schönes Chilipulver mahlen."/>
    <n v="0"/>
    <x v="0"/>
  </r>
  <r>
    <x v="12"/>
    <x v="0"/>
    <x v="0"/>
    <s v="Sonne"/>
    <x v="0"/>
    <x v="2"/>
    <s v="oben"/>
    <s v="A"/>
    <x v="0"/>
    <s v="Stäbe"/>
    <x v="0"/>
    <x v="0"/>
    <x v="1"/>
    <x v="1"/>
    <x v="1"/>
    <x v="1"/>
    <x v="0"/>
    <x v="0"/>
    <x v="1"/>
    <x v="0"/>
    <n v="50"/>
    <n v="70"/>
    <s v="Juli"/>
    <s v="50-80 cm"/>
    <s v="REINSAAT"/>
    <s v="Rucola, Radieschen, Pertersilie, Basilikum"/>
    <n v="0"/>
    <n v="0"/>
    <x v="1"/>
    <s v="Züchtung ReinSaat. Dekorativer, langgestreckter, fleischiger Chili mit attraktiven lilafarbenen Blüten, Stielen, Kelchen und Blattadern. Die Früchte reifen von lila auf goldbraun zu orangerot ab. Gut geeignet zum Frischverzehr, in Salsas oder zum Einlegen. Für Gewächshaus und geschützte Freilandlagen. Schärfegrad 6 – 7"/>
    <n v="0"/>
    <x v="0"/>
  </r>
  <r>
    <x v="13"/>
    <x v="0"/>
    <x v="0"/>
    <s v="Sonne"/>
    <x v="0"/>
    <x v="2"/>
    <s v="oben"/>
    <s v="B"/>
    <x v="0"/>
    <s v="nein"/>
    <x v="0"/>
    <x v="0"/>
    <x v="17"/>
    <x v="17"/>
    <x v="2"/>
    <x v="8"/>
    <x v="0"/>
    <x v="1"/>
    <x v="2"/>
    <x v="0"/>
    <n v="60"/>
    <n v="80"/>
    <s v="Juli"/>
    <s v="50-80 cm"/>
    <s v="SPAR Bio"/>
    <n v="0"/>
    <n v="0"/>
    <n v="0"/>
    <x v="0"/>
    <n v="0"/>
    <n v="0"/>
    <x v="0"/>
  </r>
  <r>
    <x v="13"/>
    <x v="0"/>
    <x v="0"/>
    <s v="Sonne"/>
    <x v="0"/>
    <x v="2"/>
    <s v="oben"/>
    <s v="B"/>
    <x v="0"/>
    <s v="nein"/>
    <x v="0"/>
    <x v="0"/>
    <x v="3"/>
    <x v="3"/>
    <x v="3"/>
    <x v="1"/>
    <x v="1"/>
    <x v="1"/>
    <x v="1"/>
    <x v="2"/>
    <n v="50"/>
    <n v="70"/>
    <s v="Juli"/>
    <s v="20-50 cm"/>
    <s v="REINSAAT"/>
    <s v="Salat"/>
    <s v="Tagetes gegen Nematoden, Viren und weiße Fliege"/>
    <n v="0"/>
    <x v="0"/>
    <n v="0"/>
    <n v="0"/>
    <x v="0"/>
  </r>
  <r>
    <x v="14"/>
    <x v="0"/>
    <x v="0"/>
    <s v="Sonne"/>
    <x v="0"/>
    <x v="2"/>
    <s v="oben"/>
    <s v="C"/>
    <x v="1"/>
    <s v="Gitter"/>
    <x v="0"/>
    <x v="1"/>
    <x v="18"/>
    <x v="18"/>
    <x v="4"/>
    <x v="2"/>
    <x v="2"/>
    <x v="2"/>
    <x v="3"/>
    <x v="3"/>
    <n v="3"/>
    <n v="30"/>
    <s v="Mai"/>
    <s v="ca. bis 120 cm, Rankhilfe "/>
    <s v="Sorten WERKSTATT"/>
    <s v="Dill, Fenchel, Gurken, Kohlarten, Mais, Möhren, Kohlrabi, Kopfsalat, Radieschen, Zucchini"/>
    <n v="0"/>
    <s v="Bohnen, Kartoffeln, Knoblauch, Lauch, Tomaten, Zwiebeln"/>
    <x v="3"/>
    <s v="Knackerbse, das heißt, die Hülsen sind sehr knackig und süß, nicht fädig und somit lang beerntbar. Nicht vergleichbar mit Zuckererbsen! Diese neue Sorte hat grün-violetten Schoten, ist aber noch nicht ganz einheitlich durchselektiert. Nutzbar sind die Schoten (frisch und gekocht), die frischen Erbsensamen und die Ranken, von denen die Pflanze zahlreiche bildet. Sehr schön! Aussaat ab März. Direktsaat. Rankhilfe notwenig."/>
    <n v="0"/>
    <x v="1"/>
  </r>
  <r>
    <x v="15"/>
    <x v="0"/>
    <x v="0"/>
    <s v="Sonne"/>
    <x v="0"/>
    <x v="2"/>
    <s v="unten"/>
    <s v="A"/>
    <x v="1"/>
    <s v="Tomatenhaken"/>
    <x v="0"/>
    <x v="2"/>
    <x v="6"/>
    <x v="6"/>
    <x v="5"/>
    <x v="1"/>
    <x v="3"/>
    <x v="3"/>
    <x v="4"/>
    <x v="0"/>
    <n v="50"/>
    <n v="100"/>
    <s v="August"/>
    <s v="unbegrenzt, locker belaubt, wirkt im Jugendstadium schwach, bisweilen bräunliche Blätter die später verschwinden"/>
    <s v="Arche Noah"/>
    <s v="_x0009_Buschbohne, Knoblauch, Kohl, Kohlrabi"/>
    <s v="Basilikum, gegen Mehltau und weiße Fliege_x000a_Tagetes, gegen Nematoden, Viren und weiße Fliege"/>
    <s v="Erbse, Fenchel, Kartoffeln"/>
    <x v="5"/>
    <s v="Das rotes Ochsenherz lässt sich vielfältig verwenden, für Suppen, Saucen und Salate. Die Ausgewogenheit von Süße und Säure ergibt einen sehr guten Geschmack, herzförmig, schwach gerippt und 10-12 cm groß. Ursprünglich stammt die Sorte aus Kroatien."/>
    <n v="0"/>
    <x v="0"/>
  </r>
  <r>
    <x v="15"/>
    <x v="0"/>
    <x v="0"/>
    <s v="Sonne"/>
    <x v="0"/>
    <x v="2"/>
    <s v="unten"/>
    <s v="A"/>
    <x v="1"/>
    <s v="Tomatenhaken"/>
    <x v="0"/>
    <x v="2"/>
    <x v="19"/>
    <x v="19"/>
    <x v="10"/>
    <x v="1"/>
    <x v="3"/>
    <x v="3"/>
    <x v="4"/>
    <x v="0"/>
    <n v="50"/>
    <n v="80"/>
    <s v="Juli"/>
    <s v="Stabtomate"/>
    <s v="SPAR Bio"/>
    <s v="_x0009_Buschbohne, Knoblauch, Kohl, Kohlrabi"/>
    <s v="Basilikum, gegen Mehltau und weiße Fliege_x000a_Tagetes, gegen Nematoden, Viren und weiße Fliege"/>
    <s v="Erbse, Fenchel, Kartoffeln"/>
    <x v="0"/>
    <s v="Im Salat kommt der süß-aromatische Geschmack hervorragend zur Geltung. Extrem frühreifend ist die Sorte auch für rauhere Lagen empfehlenswert._x000a_Die roten, runden, ca. 4 cm großen Früchte kann man die ganze Saison über ernten."/>
    <n v="0"/>
    <x v="0"/>
  </r>
  <r>
    <x v="15"/>
    <x v="0"/>
    <x v="0"/>
    <s v="Sonne"/>
    <x v="0"/>
    <x v="2"/>
    <s v="unten"/>
    <s v="A"/>
    <x v="1"/>
    <s v="Tomatenhaken"/>
    <x v="0"/>
    <x v="2"/>
    <x v="7"/>
    <x v="7"/>
    <x v="6"/>
    <x v="3"/>
    <x v="4"/>
    <x v="3"/>
    <x v="0"/>
    <x v="4"/>
    <n v="30"/>
    <n v="30"/>
    <s v="Ganzjährig"/>
    <s v="Busch bis 50 cm"/>
    <s v="samenmaier Bio"/>
    <s v="Tomaten, Gurken, Kohl_x0009_gegen Mehltau und weiße Fliege"/>
    <n v="0"/>
    <n v="0"/>
    <x v="6"/>
    <s v="Bekommt sie genügend Wärme, wächst sie sehr rasch."/>
    <n v="0"/>
    <x v="2"/>
  </r>
  <r>
    <x v="16"/>
    <x v="0"/>
    <x v="0"/>
    <s v="Sonne"/>
    <x v="0"/>
    <x v="2"/>
    <s v="unten"/>
    <s v="B"/>
    <x v="0"/>
    <s v="nein"/>
    <x v="0"/>
    <x v="3"/>
    <x v="8"/>
    <x v="8"/>
    <x v="1"/>
    <x v="4"/>
    <x v="5"/>
    <x v="4"/>
    <x v="5"/>
    <x v="5"/>
    <n v="60"/>
    <n v="60"/>
    <s v="August"/>
    <s v="Riesenkohlrabi, bis zu 8 kg"/>
    <s v="samenmaier Bio"/>
    <s v="Bohnen, Erbsen, Kartoffeln, Kopfsalat, Tomaten, Radieschen, Rote Bete, Sellerie, Spinat, Lauch"/>
    <n v="0"/>
    <n v="0"/>
    <x v="7"/>
    <s v=" Zur Lagerung und zum Tiefgefrieren bestens geeignet. Alle Kohlarten sind von allen Gemüse-Arten am längsten lagerbar und gelten als typisches Wintergemüse. Schon seit der Steinzeit wird vermutet, dass Kohl als Lebensmittel für uns gedient hat."/>
    <n v="0"/>
    <x v="3"/>
  </r>
  <r>
    <x v="17"/>
    <x v="0"/>
    <x v="0"/>
    <s v="Sonne"/>
    <x v="0"/>
    <x v="2"/>
    <s v="unten"/>
    <s v="C"/>
    <x v="3"/>
    <s v="nein"/>
    <x v="0"/>
    <x v="5"/>
    <x v="20"/>
    <x v="20"/>
    <x v="11"/>
    <x v="2"/>
    <x v="9"/>
    <x v="7"/>
    <x v="7"/>
    <x v="10"/>
    <s v="Streu"/>
    <s v="Streu"/>
    <s v="März"/>
    <s v="breitwürfig, mehrfacher Schnitt"/>
    <s v="REINSAAT"/>
    <s v="Bohnen, Dill, Erbsen, Erdbeeren, Gurken, Kohl, Lauch, Möhren, Tomaten, Zwiebeln"/>
    <s v="Kerbel, gegen Läuse"/>
    <s v="Petersilie, Sellerie"/>
    <x v="12"/>
    <s v="Oriental Mix ist eine bunte Cut-and-Come- Again-Salatmischung aus den frostverträglichen Asia-Blattgemüsesorten Pak Choi, Bok Choi, Mizuna, Mibuna, Purple Wave, Rouge metis, Grün im Schnee, Red Giant und anderen. Die Sortenmischung umfasst alle Geschmäcker von feinwürzig bis senfartig scharf."/>
    <n v="0"/>
    <x v="6"/>
  </r>
  <r>
    <x v="17"/>
    <x v="0"/>
    <x v="0"/>
    <s v="Sonne"/>
    <x v="0"/>
    <x v="2"/>
    <s v="unten"/>
    <s v="C"/>
    <x v="3"/>
    <s v="nein"/>
    <x v="0"/>
    <x v="5"/>
    <x v="21"/>
    <x v="21"/>
    <x v="11"/>
    <x v="9"/>
    <x v="7"/>
    <x v="7"/>
    <x v="7"/>
    <x v="11"/>
    <s v="Streu"/>
    <s v="Streu"/>
    <s v="Februar"/>
    <s v="breitwürfig, mehrfacher Schnitt"/>
    <s v="REINSAAT"/>
    <s v="Bohnen, Dill, Erbsen, Erdbeeren, Gurken, Kohl, Lauch, Möhren, Tomaten, Zwiebeln"/>
    <s v="Kerbel, gegen Läuse"/>
    <s v="Petersilie, Sellerie"/>
    <x v="13"/>
    <s v="Traditioneller, italienischer Sorten- und Artenmix. Beliebte Pflücksalat-Mischung aus den roten und grünen Pflücksalaten, Romana- und Eichblattsalaten, Schnittzichorien, Rucola und der typischen Spezialität des Original-Misticanza Hirschhornwegerichs (Herba Stella). "/>
    <n v="0"/>
    <x v="6"/>
  </r>
  <r>
    <x v="18"/>
    <x v="0"/>
    <x v="1"/>
    <s v="Halbschatten/Schatten"/>
    <x v="0"/>
    <x v="3"/>
    <s v="oben"/>
    <s v="A"/>
    <x v="1"/>
    <s v="nein"/>
    <x v="0"/>
    <x v="0"/>
    <x v="22"/>
    <x v="22"/>
    <x v="12"/>
    <x v="1"/>
    <x v="10"/>
    <x v="7"/>
    <x v="8"/>
    <x v="0"/>
    <n v="60"/>
    <n v="100"/>
    <s v="Juni"/>
    <s v="150 x 150 cm, Rankhilfe erforderlich"/>
    <s v="Plantura"/>
    <s v="Salat"/>
    <n v="0"/>
    <s v="Zucchini, Kürbisse, rauben zuviel Platz, Tomaten und Paprika wegen der Schädlinge nicht zu Auberginen setzen"/>
    <x v="14"/>
    <n v="0"/>
    <n v="0"/>
    <x v="0"/>
  </r>
  <r>
    <x v="19"/>
    <x v="0"/>
    <x v="1"/>
    <s v="Halbschatten/Schatten"/>
    <x v="0"/>
    <x v="3"/>
    <s v="oben"/>
    <s v="B"/>
    <x v="0"/>
    <s v="nein"/>
    <x v="0"/>
    <x v="6"/>
    <x v="23"/>
    <x v="23"/>
    <x v="12"/>
    <x v="10"/>
    <x v="8"/>
    <x v="8"/>
    <x v="3"/>
    <x v="12"/>
    <n v="15"/>
    <n v="15"/>
    <s v="Mai"/>
    <s v="als Pflücksalat  wird ein Abstand von 25 x 25 cm empfohlen"/>
    <s v="Austrosaat"/>
    <s v="Bohnen, Dill, Erbsen, Erdbeeren, Gurken, Kohl, Lauch, Möhren, Tomaten, Zwiebeln"/>
    <s v="Kerbel, gegen Läuse"/>
    <s v="Petersilie, Sellerie"/>
    <x v="0"/>
    <s v="Ein schnellwüchsiger Schnitt- oder Pflücksalat mit eichblattförmigen, zarten rötlichen Blättern und lockerem Kopf."/>
    <n v="0"/>
    <x v="6"/>
  </r>
  <r>
    <x v="20"/>
    <x v="0"/>
    <x v="1"/>
    <s v="Halbschatten/Schatten"/>
    <x v="0"/>
    <x v="3"/>
    <s v="oben"/>
    <s v="C"/>
    <x v="0"/>
    <s v="nein"/>
    <x v="0"/>
    <x v="6"/>
    <x v="24"/>
    <x v="24"/>
    <x v="12"/>
    <x v="10"/>
    <x v="8"/>
    <x v="8"/>
    <x v="3"/>
    <x v="12"/>
    <n v="15"/>
    <n v="15"/>
    <s v="Mai"/>
    <s v="als Pflücksalat  wird ein Abstand von 25 x 25 cm empfohlen"/>
    <s v="Austrosaat"/>
    <s v="Bohnen, Dill, Erbsen, Erdbeeren, Gurken, Kohl, Lauch, Möhren, Tomaten, Zwiebeln"/>
    <s v="Kerbel, gegen Läuse"/>
    <s v="Petersilie, Sellerie"/>
    <x v="0"/>
    <s v="Ein schnellwüchsiger Schnitt- oder Pflücksalat mit eichblattförmigen, zarten rötlichen Blättern und lockerem Kopf."/>
    <n v="0"/>
    <x v="6"/>
  </r>
  <r>
    <x v="21"/>
    <x v="0"/>
    <x v="1"/>
    <s v="Halbschatten/Schatten"/>
    <x v="0"/>
    <x v="3"/>
    <s v="unten"/>
    <s v="A"/>
    <x v="1"/>
    <s v="Tomatenhaken"/>
    <x v="0"/>
    <x v="2"/>
    <x v="14"/>
    <x v="14"/>
    <x v="7"/>
    <x v="1"/>
    <x v="3"/>
    <x v="1"/>
    <x v="6"/>
    <x v="9"/>
    <n v="50"/>
    <n v="60"/>
    <s v="Juli"/>
    <s v="Stabtomate"/>
    <s v="REINSAAT"/>
    <s v="_x0009_Buschbohne, Knoblauch, Kohl, Kohlrabi"/>
    <s v="Basilikum, gegen Mehltau und weiße Fliege_x000a_Tagetes, gegen Nematoden, Viren und weiße Fliege"/>
    <s v="Erbse, Fenchel, Kartoffeln"/>
    <x v="0"/>
    <s v="Halbdeterminante Fleischtomate aus der EHZ von ReinSaat. Die braunroten, flachrunden Früchte sind von herausragend gutem Geschmack. Mehrkammerige, fleischige und sehr saftige Früchte mit einem Fruchtgewicht von ca. 200 – 300 g. Früh einsetzende Ernte. Sehr beliebte Hausgärtnersorte."/>
    <n v="0"/>
    <x v="0"/>
  </r>
  <r>
    <x v="21"/>
    <x v="0"/>
    <x v="1"/>
    <s v="Halbschatten/Schatten"/>
    <x v="0"/>
    <x v="3"/>
    <s v="unten"/>
    <s v="A"/>
    <x v="1"/>
    <s v="Tomatenhaken"/>
    <x v="0"/>
    <x v="2"/>
    <x v="13"/>
    <x v="13"/>
    <x v="5"/>
    <x v="1"/>
    <x v="3"/>
    <x v="3"/>
    <x v="4"/>
    <x v="0"/>
    <n v="50"/>
    <n v="80"/>
    <s v="Juli"/>
    <s v="Stabtomate wächst bis 1,2 m hoch und hat kartoffelblättriges lockeres Laub"/>
    <s v="Arche Noah"/>
    <s v="_x0009_Buschbohne, Knoblauch, Kohl, Kohlrabi"/>
    <s v="Basilikum, gegen Mehltau und weiße Fliege_x000a_Tagetes, gegen Nematoden, Viren und weiße Fliege"/>
    <s v="Erbse, Fenchel, Kartoffeln"/>
    <x v="11"/>
    <s v="Im Salat kommt der süß-aromatische Geschmack hervorragend zur Geltung. Extrem frühreifend ist die Sorte auch für rauhere Lagen empfehlenswert._x000a_Die roten, runden, ca. 4 cm großen Früchte kann man die ganze Saison über ernten."/>
    <n v="0"/>
    <x v="0"/>
  </r>
  <r>
    <x v="22"/>
    <x v="0"/>
    <x v="1"/>
    <s v="Halbschatten/Schatten"/>
    <x v="0"/>
    <x v="3"/>
    <s v="unten"/>
    <s v="B"/>
    <x v="3"/>
    <s v="nein"/>
    <x v="0"/>
    <x v="4"/>
    <x v="15"/>
    <x v="15"/>
    <x v="9"/>
    <x v="7"/>
    <x v="8"/>
    <x v="6"/>
    <x v="3"/>
    <x v="8"/>
    <n v="0"/>
    <n v="0"/>
    <n v="0"/>
    <n v="0"/>
    <n v="0"/>
    <n v="0"/>
    <n v="0"/>
    <n v="0"/>
    <x v="0"/>
    <n v="0"/>
    <n v="0"/>
    <x v="5"/>
  </r>
  <r>
    <x v="23"/>
    <x v="0"/>
    <x v="1"/>
    <s v="Halbschatten/Schatten"/>
    <x v="0"/>
    <x v="3"/>
    <s v="unten"/>
    <s v="C"/>
    <x v="1"/>
    <s v="Tomatenhaken"/>
    <x v="0"/>
    <x v="2"/>
    <x v="19"/>
    <x v="19"/>
    <x v="10"/>
    <x v="1"/>
    <x v="3"/>
    <x v="3"/>
    <x v="4"/>
    <x v="0"/>
    <n v="50"/>
    <n v="80"/>
    <s v="Juli"/>
    <s v="Stabtomate"/>
    <s v="SPAR Bio"/>
    <s v="_x0009_Buschbohne, Knoblauch, Kohl, Kohlrabi"/>
    <s v="Basilikum, gegen Mehltau und weiße Fliege_x000a_Tagetes, gegen Nematoden, Viren und weiße Fliege"/>
    <s v="Erbse, Fenchel, Kartoffeln"/>
    <x v="0"/>
    <s v="Im Salat kommt der süß-aromatische Geschmack hervorragend zur Geltung. Extrem frühreifend ist die Sorte auch für rauhere Lagen empfehlenswert._x000a_Die roten, runden, ca. 4 cm großen Früchte kann man die ganze Saison über ernten."/>
    <n v="0"/>
    <x v="0"/>
  </r>
  <r>
    <x v="23"/>
    <x v="0"/>
    <x v="1"/>
    <s v="Halbschatten/Schatten"/>
    <x v="0"/>
    <x v="3"/>
    <s v="unten"/>
    <s v="C"/>
    <x v="1"/>
    <s v="Tomatenhaken"/>
    <x v="0"/>
    <x v="2"/>
    <x v="13"/>
    <x v="13"/>
    <x v="5"/>
    <x v="1"/>
    <x v="3"/>
    <x v="3"/>
    <x v="4"/>
    <x v="0"/>
    <n v="50"/>
    <n v="80"/>
    <s v="Juli"/>
    <s v="Stabtomate wächst bis 1,2 m hoch und hat kartoffelblättriges lockeres Laub"/>
    <s v="Arche Noah"/>
    <s v="_x0009_Buschbohne, Knoblauch, Kohl, Kohlrabi"/>
    <s v="Basilikum, gegen Mehltau und weiße Fliege_x000a_Tagetes, gegen Nematoden, Viren und weiße Fliege"/>
    <s v="Erbse, Fenchel, Kartoffeln"/>
    <x v="11"/>
    <s v="Im Salat kommt der süß-aromatische Geschmack hervorragend zur Geltung. Extrem frühreifend ist die Sorte auch für rauhere Lagen empfehlenswert._x000a_Die roten, runden, ca. 4 cm großen Früchte kann man die ganze Saison über ernten."/>
    <n v="0"/>
    <x v="0"/>
  </r>
  <r>
    <x v="24"/>
    <x v="0"/>
    <x v="1"/>
    <s v="Halbschatten/Schatten"/>
    <x v="1"/>
    <x v="4"/>
    <s v="mitte"/>
    <s v="A"/>
    <x v="4"/>
    <s v="nein"/>
    <x v="0"/>
    <x v="6"/>
    <x v="15"/>
    <x v="15"/>
    <x v="9"/>
    <x v="7"/>
    <x v="8"/>
    <x v="6"/>
    <x v="3"/>
    <x v="8"/>
    <n v="0"/>
    <n v="0"/>
    <n v="0"/>
    <n v="0"/>
    <n v="0"/>
    <n v="0"/>
    <n v="0"/>
    <n v="0"/>
    <x v="0"/>
    <n v="0"/>
    <n v="0"/>
    <x v="5"/>
  </r>
  <r>
    <x v="25"/>
    <x v="0"/>
    <x v="1"/>
    <s v="Halbschatten/Schatten"/>
    <x v="1"/>
    <x v="4"/>
    <s v="mitte"/>
    <s v="B"/>
    <x v="5"/>
    <s v="nein"/>
    <x v="0"/>
    <x v="6"/>
    <x v="15"/>
    <x v="15"/>
    <x v="9"/>
    <x v="7"/>
    <x v="8"/>
    <x v="6"/>
    <x v="3"/>
    <x v="8"/>
    <n v="0"/>
    <n v="0"/>
    <n v="0"/>
    <n v="0"/>
    <n v="0"/>
    <n v="0"/>
    <n v="0"/>
    <n v="0"/>
    <x v="0"/>
    <n v="0"/>
    <n v="0"/>
    <x v="5"/>
  </r>
  <r>
    <x v="26"/>
    <x v="0"/>
    <x v="1"/>
    <s v="Halbschatten/Schatten"/>
    <x v="1"/>
    <x v="4"/>
    <s v="oben"/>
    <s v="A"/>
    <x v="4"/>
    <s v="nein"/>
    <x v="1"/>
    <x v="4"/>
    <x v="25"/>
    <x v="25"/>
    <x v="9"/>
    <x v="7"/>
    <x v="8"/>
    <x v="6"/>
    <x v="3"/>
    <x v="8"/>
    <n v="0"/>
    <n v="0"/>
    <n v="0"/>
    <n v="0"/>
    <n v="0"/>
    <n v="0"/>
    <n v="0"/>
    <n v="0"/>
    <x v="0"/>
    <n v="0"/>
    <n v="0"/>
    <x v="5"/>
  </r>
  <r>
    <x v="27"/>
    <x v="0"/>
    <x v="1"/>
    <s v="Halbschatten/Schatten"/>
    <x v="1"/>
    <x v="4"/>
    <s v="oben"/>
    <s v="B"/>
    <x v="6"/>
    <s v="nein"/>
    <x v="1"/>
    <x v="4"/>
    <x v="26"/>
    <x v="26"/>
    <x v="12"/>
    <x v="10"/>
    <x v="8"/>
    <x v="8"/>
    <x v="3"/>
    <x v="12"/>
    <n v="15"/>
    <n v="15"/>
    <s v="Mai"/>
    <n v="0"/>
    <n v="0"/>
    <n v="0"/>
    <n v="0"/>
    <n v="0"/>
    <x v="0"/>
    <n v="0"/>
    <n v="0"/>
    <x v="6"/>
  </r>
  <r>
    <x v="28"/>
    <x v="0"/>
    <x v="1"/>
    <s v="Halbschatten/Schatten"/>
    <x v="1"/>
    <x v="4"/>
    <s v="unten"/>
    <s v="A"/>
    <x v="7"/>
    <s v="nein"/>
    <x v="1"/>
    <x v="4"/>
    <x v="15"/>
    <x v="15"/>
    <x v="9"/>
    <x v="7"/>
    <x v="8"/>
    <x v="6"/>
    <x v="3"/>
    <x v="8"/>
    <n v="0"/>
    <n v="0"/>
    <n v="0"/>
    <n v="0"/>
    <n v="0"/>
    <n v="0"/>
    <n v="0"/>
    <n v="0"/>
    <x v="0"/>
    <n v="0"/>
    <n v="0"/>
    <x v="5"/>
  </r>
  <r>
    <x v="29"/>
    <x v="0"/>
    <x v="1"/>
    <s v="Halbschatten/Schatten"/>
    <x v="1"/>
    <x v="4"/>
    <s v="unten"/>
    <s v="B"/>
    <x v="1"/>
    <s v="Tomatenhaken"/>
    <x v="0"/>
    <x v="2"/>
    <x v="6"/>
    <x v="6"/>
    <x v="5"/>
    <x v="1"/>
    <x v="3"/>
    <x v="3"/>
    <x v="4"/>
    <x v="0"/>
    <n v="50"/>
    <n v="100"/>
    <s v="August"/>
    <s v="unbegrenzt, locker belaubt, wirkt im Jugendstadium schwach, bisweilen bräunliche Blätter die später verschwinden"/>
    <s v="Arche Noah"/>
    <s v="_x0009_Buschbohne, Knoblauch, Kohl, Kohlrabi"/>
    <s v="Basilikum, gegen Mehltau und weiße Fliege_x000a_Tagetes, gegen Nematoden, Viren und weiße Fliege"/>
    <s v="Erbse, Fenchel, Kartoffeln"/>
    <x v="5"/>
    <s v="Das rotes Ochsenherz lässt sich vielfältig verwenden, für Suppen, Saucen und Salate. Die Ausgewogenheit von Süße und Säure ergibt einen sehr guten Geschmack, herzförmig, schwach gerippt und 10-12 cm groß. Ursprünglich stammt die Sorte aus Kroatien."/>
    <n v="0"/>
    <x v="0"/>
  </r>
  <r>
    <x v="29"/>
    <x v="0"/>
    <x v="1"/>
    <s v="Halbschatten/Schatten"/>
    <x v="1"/>
    <x v="4"/>
    <s v="unten"/>
    <s v="B"/>
    <x v="1"/>
    <s v="Tomatenhaken"/>
    <x v="0"/>
    <x v="2"/>
    <x v="14"/>
    <x v="14"/>
    <x v="7"/>
    <x v="1"/>
    <x v="3"/>
    <x v="1"/>
    <x v="6"/>
    <x v="9"/>
    <n v="50"/>
    <n v="60"/>
    <s v="Juli"/>
    <s v="Stabtomate"/>
    <s v="REINSAAT"/>
    <s v="_x0009_Buschbohne, Knoblauch, Kohl, Kohlrabi"/>
    <s v="Basilikum, gegen Mehltau und weiße Fliege_x000a_Tagetes, gegen Nematoden, Viren und weiße Fliege"/>
    <s v="Erbse, Fenchel, Kartoffeln"/>
    <x v="0"/>
    <s v="Halbdeterminante Fleischtomate aus der EHZ von ReinSaat. Die braunroten, flachrunden Früchte sind von herausragend gutem Geschmack. Mehrkammerige, fleischige und sehr saftige Früchte mit einem Fruchtgewicht von ca. 200 – 300 g. Früh einsetzende Ernte. Sehr beliebte Hausgärtnersorte."/>
    <n v="0"/>
    <x v="0"/>
  </r>
  <r>
    <x v="30"/>
    <x v="1"/>
    <x v="2"/>
    <s v="Sonne"/>
    <x v="1"/>
    <x v="5"/>
    <s v="mitte"/>
    <s v="A"/>
    <x v="8"/>
    <s v="nein"/>
    <x v="0"/>
    <x v="0"/>
    <x v="27"/>
    <x v="27"/>
    <x v="13"/>
    <x v="9"/>
    <x v="7"/>
    <x v="9"/>
    <x v="9"/>
    <x v="13"/>
    <n v="3"/>
    <n v="15"/>
    <s v="Februar"/>
    <s v="breitwürfig, mehrfacher Schnitt"/>
    <s v="REINSAAT"/>
    <s v="Zucchini, Kohlrabi, Erdbeeren"/>
    <n v="0"/>
    <s v="Petersilie, Sellerie"/>
    <x v="13"/>
    <s v="Rasch wachsende, mittelfrühe Sorte mit sehr gutem Ertrag. Zarte, mittel- bis dunkelgrüne Blätter. Für den Frühjahrs- und Herbstanbau und den Überwinterungsanbau geeignet."/>
    <n v="0"/>
    <x v="6"/>
  </r>
  <r>
    <x v="31"/>
    <x v="1"/>
    <x v="2"/>
    <s v="Sonne"/>
    <x v="1"/>
    <x v="5"/>
    <s v="mitte"/>
    <s v="B"/>
    <x v="8"/>
    <s v="nein"/>
    <x v="0"/>
    <x v="0"/>
    <x v="28"/>
    <x v="28"/>
    <x v="9"/>
    <x v="7"/>
    <x v="8"/>
    <x v="6"/>
    <x v="3"/>
    <x v="8"/>
    <n v="0"/>
    <n v="0"/>
    <n v="0"/>
    <n v="0"/>
    <n v="0"/>
    <n v="0"/>
    <n v="0"/>
    <n v="0"/>
    <x v="0"/>
    <s v="Gegen Läuse beim Salat"/>
    <n v="0"/>
    <x v="2"/>
  </r>
  <r>
    <x v="32"/>
    <x v="1"/>
    <x v="2"/>
    <s v="Sonne"/>
    <x v="1"/>
    <x v="5"/>
    <s v="mitte"/>
    <s v="C"/>
    <x v="8"/>
    <s v="nein"/>
    <x v="0"/>
    <x v="0"/>
    <x v="29"/>
    <x v="29"/>
    <x v="9"/>
    <x v="7"/>
    <x v="8"/>
    <x v="6"/>
    <x v="3"/>
    <x v="8"/>
    <n v="0"/>
    <n v="0"/>
    <n v="0"/>
    <n v="0"/>
    <s v="own grown"/>
    <n v="0"/>
    <n v="0"/>
    <n v="0"/>
    <x v="0"/>
    <n v="0"/>
    <n v="0"/>
    <x v="2"/>
  </r>
  <r>
    <x v="33"/>
    <x v="1"/>
    <x v="2"/>
    <s v="Sonne"/>
    <x v="1"/>
    <x v="5"/>
    <s v="mitte"/>
    <s v="D"/>
    <x v="9"/>
    <s v="nein"/>
    <x v="0"/>
    <x v="1"/>
    <x v="30"/>
    <x v="30"/>
    <x v="9"/>
    <x v="2"/>
    <x v="11"/>
    <x v="10"/>
    <x v="3"/>
    <x v="14"/>
    <n v="7"/>
    <n v="40"/>
    <s v="Mai"/>
    <s v="klein"/>
    <s v="Arche Noah"/>
    <s v="Dill, Erbsen, Knoblauch, Lauch, Radieschen, Rettich, Tomaten, Zwiebeln, Schnittlauch"/>
    <n v="0"/>
    <n v="0"/>
    <x v="15"/>
    <s v="Ihr Geschmack ist sehr süß und enorm aromatisch! Duwika ist eine raschwüchsige Frühkarotte, die sich als Treibmöhre im Frühbeet und früheste Freilandkarotte eignet. Sie wird aber auch den ganzen Sommer hindurch bis zu spätesten Ausaatterminen Anfang August gesät. Durch den hohen Zuckergehalt ist sie weniger frostempfindlich als andere Sorten. _x000a_„Duwicker&quot; werden Karotten mit kurzen, kreiselförmigen Wurzeln genannt. Die Sorte ist frühreifend, das Fruchtfleisch schmeckt süß und ist orange gefärbt. Auch auf schweren Böden nicht beinig und leicht zu ernten."/>
    <n v="0"/>
    <x v="7"/>
  </r>
  <r>
    <x v="34"/>
    <x v="1"/>
    <x v="2"/>
    <s v="Sonne"/>
    <x v="1"/>
    <x v="5"/>
    <s v="oben"/>
    <s v="A"/>
    <x v="5"/>
    <s v="nein"/>
    <x v="0"/>
    <x v="0"/>
    <x v="20"/>
    <x v="20"/>
    <x v="11"/>
    <x v="2"/>
    <x v="9"/>
    <x v="7"/>
    <x v="7"/>
    <x v="10"/>
    <s v="Streu"/>
    <s v="Streu"/>
    <s v="März"/>
    <s v="breitwürfig, mehrfacher Schnitt"/>
    <s v="REINSAAT"/>
    <s v="Bohnen, Dill, Erbsen, Erdbeeren, Gurken, Kohl, Lauch, Möhren, Tomaten, Zwiebeln"/>
    <s v="Kerbel, gegen Läuse"/>
    <s v="Petersilie, Sellerie"/>
    <x v="12"/>
    <s v="Oriental Mix ist eine bunte Cut-and-Come- Again-Salatmischung aus den frostverträglichen Asia-Blattgemüsesorten Pak Choi, Bok Choi, Mizuna, Mibuna, Purple Wave, Rouge metis, Grün im Schnee, Red Giant und anderen. Die Sortenmischung umfasst alle Geschmäcker von feinwürzig bis senfartig scharf."/>
    <n v="0"/>
    <x v="6"/>
  </r>
  <r>
    <x v="35"/>
    <x v="1"/>
    <x v="2"/>
    <s v="Sonne"/>
    <x v="1"/>
    <x v="5"/>
    <s v="oben"/>
    <s v="B"/>
    <x v="5"/>
    <s v="nein"/>
    <x v="0"/>
    <x v="0"/>
    <x v="31"/>
    <x v="31"/>
    <x v="9"/>
    <x v="11"/>
    <x v="12"/>
    <x v="11"/>
    <x v="3"/>
    <x v="15"/>
    <n v="5"/>
    <n v="10"/>
    <s v="Mai"/>
    <s v="klein"/>
    <s v="div."/>
    <n v="0"/>
    <n v="0"/>
    <n v="0"/>
    <x v="16"/>
    <n v="0"/>
    <n v="0"/>
    <x v="7"/>
  </r>
  <r>
    <x v="36"/>
    <x v="1"/>
    <x v="2"/>
    <s v="Sonne"/>
    <x v="1"/>
    <x v="5"/>
    <s v="oben"/>
    <s v="C"/>
    <x v="5"/>
    <s v="nein"/>
    <x v="0"/>
    <x v="0"/>
    <x v="21"/>
    <x v="21"/>
    <x v="11"/>
    <x v="9"/>
    <x v="7"/>
    <x v="7"/>
    <x v="7"/>
    <x v="11"/>
    <s v="Streu"/>
    <s v="Streu"/>
    <s v="Februar"/>
    <s v="breitwürfig, mehrfacher Schnitt"/>
    <s v="REINSAAT"/>
    <s v="Bohnen, Dill, Erbsen, Erdbeeren, Gurken, Kohl, Lauch, Möhren, Tomaten, Zwiebeln"/>
    <s v="Kerbel, gegen Läuse"/>
    <s v="Petersilie, Sellerie"/>
    <x v="13"/>
    <s v="Traditioneller, italienischer Sorten- und Artenmix. Beliebte Pflücksalat-Mischung aus den roten und grünen Pflücksalaten, Romana- und Eichblattsalaten, Schnittzichorien, Rucola und der typischen Spezialität des Original-Misticanza Hirschhornwegerichs (Herba Stella). "/>
    <n v="0"/>
    <x v="6"/>
  </r>
  <r>
    <x v="37"/>
    <x v="1"/>
    <x v="2"/>
    <s v="Sonne"/>
    <x v="1"/>
    <x v="5"/>
    <s v="unten"/>
    <s v="A"/>
    <x v="2"/>
    <s v="nein"/>
    <x v="0"/>
    <x v="0"/>
    <x v="32"/>
    <x v="32"/>
    <x v="9"/>
    <x v="7"/>
    <x v="8"/>
    <x v="6"/>
    <x v="3"/>
    <x v="0"/>
    <n v="0"/>
    <n v="0"/>
    <n v="0"/>
    <n v="0"/>
    <n v="0"/>
    <n v="0"/>
    <n v="0"/>
    <n v="0"/>
    <x v="0"/>
    <n v="0"/>
    <n v="0"/>
    <x v="8"/>
  </r>
  <r>
    <x v="38"/>
    <x v="1"/>
    <x v="2"/>
    <s v="Sonne"/>
    <x v="1"/>
    <x v="5"/>
    <s v="unten"/>
    <s v="B"/>
    <x v="2"/>
    <s v="nein"/>
    <x v="0"/>
    <x v="0"/>
    <x v="33"/>
    <x v="33"/>
    <x v="14"/>
    <x v="2"/>
    <x v="5"/>
    <x v="12"/>
    <x v="10"/>
    <x v="16"/>
    <n v="10"/>
    <n v="30"/>
    <s v="Mai, mit Folgesaat alle 4 Wochen"/>
    <s v="100 cm"/>
    <s v="SPAR Bio"/>
    <n v="0"/>
    <n v="0"/>
    <n v="0"/>
    <x v="17"/>
    <s v="Gewürzkraut für anspruchsvolle Kenner. Grünzeug wie Petersilie und Samenkörner als Gewürz verwendet."/>
    <n v="0"/>
    <x v="2"/>
  </r>
  <r>
    <x v="39"/>
    <x v="1"/>
    <x v="2"/>
    <s v="Sonne"/>
    <x v="1"/>
    <x v="5"/>
    <s v="unten"/>
    <s v="C"/>
    <x v="2"/>
    <s v="nein"/>
    <x v="0"/>
    <x v="0"/>
    <x v="34"/>
    <x v="34"/>
    <x v="15"/>
    <x v="9"/>
    <x v="13"/>
    <x v="3"/>
    <x v="5"/>
    <x v="17"/>
    <n v="30"/>
    <n v="30"/>
    <s v="April"/>
    <s v="Kopf locker attraktiv durch Rotfärbung"/>
    <s v="Arche Noah"/>
    <s v="Bohnen, Dill, Erbsen, Erdbeeren, Gurken, Kohl, Lauch, Möhren, Tomaten, Zwiebeln"/>
    <s v="Kerbel, gegen Läuse"/>
    <s v="Petersilie, Sellerie"/>
    <x v="18"/>
    <s v="Der Kopfsalat ist außer frisch auch für die Spinatzubereitung geeignet. Die leichte Rotfärbung sieht sehr schön aus. Köstlich, sehr zart! Die Pflanzen sind raschwüchsig und robust gegen Pilzkrankheiten und Kälte. Er hat sich auch als Überwinterungskultur bewährt. Attraktiv durch Rotfärbung. Aus Kroatien. "/>
    <n v="0"/>
    <x v="6"/>
  </r>
  <r>
    <x v="40"/>
    <x v="1"/>
    <x v="2"/>
    <s v="Sonne"/>
    <x v="1"/>
    <x v="6"/>
    <s v="mitte"/>
    <s v="A"/>
    <x v="8"/>
    <s v="nein"/>
    <x v="0"/>
    <x v="0"/>
    <x v="32"/>
    <x v="32"/>
    <x v="9"/>
    <x v="7"/>
    <x v="8"/>
    <x v="6"/>
    <x v="3"/>
    <x v="0"/>
    <n v="0"/>
    <n v="0"/>
    <n v="0"/>
    <n v="0"/>
    <n v="0"/>
    <n v="0"/>
    <n v="0"/>
    <n v="0"/>
    <x v="0"/>
    <n v="0"/>
    <n v="0"/>
    <x v="8"/>
  </r>
  <r>
    <x v="41"/>
    <x v="1"/>
    <x v="2"/>
    <s v="Sonne"/>
    <x v="1"/>
    <x v="6"/>
    <s v="mitte"/>
    <s v="B"/>
    <x v="8"/>
    <s v="nein"/>
    <x v="0"/>
    <x v="0"/>
    <x v="35"/>
    <x v="35"/>
    <x v="9"/>
    <x v="7"/>
    <x v="8"/>
    <x v="6"/>
    <x v="3"/>
    <x v="0"/>
    <n v="0"/>
    <n v="0"/>
    <n v="0"/>
    <n v="0"/>
    <n v="0"/>
    <n v="0"/>
    <n v="0"/>
    <n v="0"/>
    <x v="0"/>
    <n v="0"/>
    <n v="0"/>
    <x v="2"/>
  </r>
  <r>
    <x v="42"/>
    <x v="1"/>
    <x v="2"/>
    <s v="Sonne"/>
    <x v="1"/>
    <x v="6"/>
    <s v="mitte"/>
    <s v="C"/>
    <x v="8"/>
    <s v="nein"/>
    <x v="0"/>
    <x v="0"/>
    <x v="26"/>
    <x v="26"/>
    <x v="12"/>
    <x v="10"/>
    <x v="8"/>
    <x v="8"/>
    <x v="3"/>
    <x v="12"/>
    <n v="15"/>
    <n v="15"/>
    <s v="Mai"/>
    <n v="0"/>
    <n v="0"/>
    <n v="0"/>
    <n v="0"/>
    <n v="0"/>
    <x v="0"/>
    <n v="0"/>
    <n v="0"/>
    <x v="6"/>
  </r>
  <r>
    <x v="43"/>
    <x v="1"/>
    <x v="2"/>
    <s v="Sonne"/>
    <x v="1"/>
    <x v="6"/>
    <s v="mitte"/>
    <s v="D"/>
    <x v="8"/>
    <s v="nein"/>
    <x v="0"/>
    <x v="0"/>
    <x v="26"/>
    <x v="26"/>
    <x v="12"/>
    <x v="10"/>
    <x v="8"/>
    <x v="8"/>
    <x v="3"/>
    <x v="12"/>
    <n v="15"/>
    <n v="15"/>
    <s v="Mai"/>
    <n v="0"/>
    <n v="0"/>
    <n v="0"/>
    <n v="0"/>
    <n v="0"/>
    <x v="0"/>
    <n v="0"/>
    <n v="0"/>
    <x v="6"/>
  </r>
  <r>
    <x v="44"/>
    <x v="1"/>
    <x v="2"/>
    <s v="Sonne"/>
    <x v="1"/>
    <x v="6"/>
    <s v="mitte"/>
    <s v="E"/>
    <x v="8"/>
    <s v="nein"/>
    <x v="0"/>
    <x v="0"/>
    <x v="35"/>
    <x v="35"/>
    <x v="9"/>
    <x v="7"/>
    <x v="8"/>
    <x v="6"/>
    <x v="3"/>
    <x v="0"/>
    <n v="0"/>
    <n v="0"/>
    <n v="0"/>
    <n v="0"/>
    <n v="0"/>
    <n v="0"/>
    <n v="0"/>
    <n v="0"/>
    <x v="0"/>
    <n v="0"/>
    <n v="0"/>
    <x v="2"/>
  </r>
  <r>
    <x v="45"/>
    <x v="1"/>
    <x v="2"/>
    <s v="Sonne"/>
    <x v="1"/>
    <x v="6"/>
    <s v="mitte"/>
    <s v="F"/>
    <x v="8"/>
    <s v="nein"/>
    <x v="0"/>
    <x v="0"/>
    <x v="32"/>
    <x v="32"/>
    <x v="9"/>
    <x v="7"/>
    <x v="8"/>
    <x v="6"/>
    <x v="3"/>
    <x v="0"/>
    <n v="0"/>
    <n v="0"/>
    <n v="0"/>
    <n v="0"/>
    <n v="0"/>
    <n v="0"/>
    <n v="0"/>
    <n v="0"/>
    <x v="0"/>
    <n v="0"/>
    <n v="0"/>
    <x v="8"/>
  </r>
  <r>
    <x v="46"/>
    <x v="1"/>
    <x v="2"/>
    <s v="Sonne"/>
    <x v="1"/>
    <x v="6"/>
    <s v="oben"/>
    <s v="A"/>
    <x v="2"/>
    <s v="nein"/>
    <x v="0"/>
    <x v="2"/>
    <x v="36"/>
    <x v="36"/>
    <x v="16"/>
    <x v="3"/>
    <x v="7"/>
    <x v="13"/>
    <x v="8"/>
    <x v="2"/>
    <n v="100"/>
    <n v="100"/>
    <s v="Juli"/>
    <s v="Buschig wachsend"/>
    <s v="Maria Arnold"/>
    <s v="Kopfsalat, Lauch, Möhren, Petersilie, Rettich_x000a_Radieschen, Rote Bete, Sellerie, Spinat,_x000a_Stangenbohnen, Zwiebeln"/>
    <s v="Borretsch, Insektenbestäubten Pflanzen, z.B. Gurken, Zucchini, Lockt Insekten an"/>
    <n v="0"/>
    <x v="19"/>
    <s v="Weiße Zucchini mit augeprägtem Geschmack. Stammt aus Sizilien._x000a_Die Pflanzen zeichnen sich durch Frühreife aus, ab Mitte Juli kann förmlich fortlaufend geernet werden._x000a_Ganz jung bei einer Dicke von 2cm geerntet unglaublich zart, selbst später bildet sie keine harte Schale aus, sondern sie bleiben weich bei knackigem Fleisch. Die Sorte unbedingt pur probieren, fein geschnitten oder geraspelt mit Salz, Olivenöl, Pfeffer und Tomatenessig total lecker."/>
    <n v="0"/>
    <x v="0"/>
  </r>
  <r>
    <x v="47"/>
    <x v="1"/>
    <x v="2"/>
    <s v="Sonne"/>
    <x v="1"/>
    <x v="6"/>
    <s v="oben"/>
    <s v="B"/>
    <x v="8"/>
    <s v="nein"/>
    <x v="0"/>
    <x v="2"/>
    <x v="37"/>
    <x v="37"/>
    <x v="9"/>
    <x v="7"/>
    <x v="8"/>
    <x v="6"/>
    <x v="3"/>
    <x v="8"/>
    <n v="0"/>
    <n v="0"/>
    <n v="0"/>
    <n v="0"/>
    <n v="0"/>
    <n v="0"/>
    <n v="0"/>
    <n v="0"/>
    <x v="0"/>
    <n v="0"/>
    <n v="0"/>
    <x v="5"/>
  </r>
  <r>
    <x v="48"/>
    <x v="1"/>
    <x v="2"/>
    <s v="Sonne"/>
    <x v="1"/>
    <x v="6"/>
    <s v="oben"/>
    <s v="C"/>
    <x v="8"/>
    <s v="nein"/>
    <x v="0"/>
    <x v="2"/>
    <x v="37"/>
    <x v="37"/>
    <x v="9"/>
    <x v="7"/>
    <x v="8"/>
    <x v="6"/>
    <x v="3"/>
    <x v="8"/>
    <n v="0"/>
    <n v="0"/>
    <n v="0"/>
    <n v="0"/>
    <n v="0"/>
    <n v="0"/>
    <n v="0"/>
    <n v="0"/>
    <x v="0"/>
    <n v="0"/>
    <n v="0"/>
    <x v="5"/>
  </r>
  <r>
    <x v="49"/>
    <x v="1"/>
    <x v="2"/>
    <s v="Sonne"/>
    <x v="1"/>
    <x v="6"/>
    <s v="oben"/>
    <s v="D"/>
    <x v="2"/>
    <s v="nein"/>
    <x v="0"/>
    <x v="2"/>
    <x v="36"/>
    <x v="36"/>
    <x v="16"/>
    <x v="3"/>
    <x v="7"/>
    <x v="13"/>
    <x v="8"/>
    <x v="2"/>
    <n v="100"/>
    <n v="100"/>
    <s v="Juli"/>
    <s v="Buschig wachsend"/>
    <s v="Maria Arnold"/>
    <s v="Kopfsalat, Lauch, Möhren, Petersilie, Rettich_x000a_Radieschen, Rote Bete, Sellerie, Spinat,_x000a_Stangenbohnen, Zwiebeln"/>
    <s v="Borretsch, Insektenbestäubten Pflanzen, z.B. Gurken, Zucchini, Lockt Insekten an"/>
    <n v="0"/>
    <x v="19"/>
    <s v="Weiße Zucchini mit augeprägtem Geschmack. Stammt aus Sizilien._x000a_Die Pflanzen zeichnen sich durch Frühreife aus, ab Mitte Juli kann förmlich fortlaufend geernet werden._x000a_Ganz jung bei einer Dicke von 2cm geerntet unglaublich zart, selbst später bildet sie keine harte Schale aus, sondern sie bleiben weich bei knackigem Fleisch. Die Sorte unbedingt pur probieren, fein geschnitten oder geraspelt mit Salz, Olivenöl, Pfeffer und Tomatenessig total lecker."/>
    <n v="0"/>
    <x v="0"/>
  </r>
  <r>
    <x v="50"/>
    <x v="1"/>
    <x v="2"/>
    <s v="Sonne"/>
    <x v="1"/>
    <x v="6"/>
    <s v="unten"/>
    <s v="A"/>
    <x v="2"/>
    <s v="nein"/>
    <x v="0"/>
    <x v="2"/>
    <x v="38"/>
    <x v="38"/>
    <x v="17"/>
    <x v="12"/>
    <x v="5"/>
    <x v="13"/>
    <x v="8"/>
    <x v="18"/>
    <n v="50"/>
    <n v="150"/>
    <s v="Juli"/>
    <s v="1,5 m am Gitter"/>
    <s v="samen hauefl"/>
    <s v="Bohnen, Dill, Erbsen, Fenchel, Kohl, Kopfsalat, Kümmel, Lauch, Mais, Rote Bete, Sellerie, Zwiebeln"/>
    <s v="Basilikum, gegen Mehltau und weiße Fliege_x000a_Borretsch, Insektenbestäubten Pflanzen, z.B. Gurken, Zucchini, Lockt Insekten an"/>
    <s v="Tomaten, Radieschen"/>
    <x v="20"/>
    <s v="Kleine Salat ooder Einlegegurke mit glatter Schale, dunkelgrün, kaum bestachelt, Früchte ca. 8-12 cm lang, robust auch bei ungünstiger Witterung"/>
    <n v="0"/>
    <x v="0"/>
  </r>
  <r>
    <x v="51"/>
    <x v="1"/>
    <x v="2"/>
    <s v="Sonne"/>
    <x v="1"/>
    <x v="6"/>
    <s v="unten"/>
    <s v="B"/>
    <x v="8"/>
    <s v="nein"/>
    <x v="0"/>
    <x v="2"/>
    <x v="39"/>
    <x v="39"/>
    <x v="7"/>
    <x v="2"/>
    <x v="6"/>
    <x v="5"/>
    <x v="5"/>
    <x v="6"/>
    <n v="5"/>
    <n v="25"/>
    <s v="Mai"/>
    <s v="Jungzwiebel Mai/Juni, Knolle August (wenn Laub knickt)"/>
    <s v="samen greisslerei"/>
    <s v="Bohnenkraut, Erdbeeren, Dill, Kopfsalat,_x000a_Möhren, Rote Bete"/>
    <n v="0"/>
    <s v="Bohnen, Erbsen, Kohl"/>
    <x v="8"/>
    <s v="Diese Sorte zeichnet sich durch feste, dunkelrote, plattrunde bis runde Zwiebeln aus, die gut lagerfähig sind. Sie ist sehr attraktiv als Jungzwiebel, der Schaft leuchtet dunkelrot unter dem grünem Laub hervor. Gute Lagerzwiebel. Nutzung:_x000a_Jungzwiebeln, frisch oder gegart. Küchenzwiebel."/>
    <n v="0"/>
    <x v="4"/>
  </r>
  <r>
    <x v="52"/>
    <x v="1"/>
    <x v="2"/>
    <s v="Sonne"/>
    <x v="1"/>
    <x v="6"/>
    <s v="unten"/>
    <s v="C"/>
    <x v="1"/>
    <s v="Tomatenhaken"/>
    <x v="0"/>
    <x v="2"/>
    <x v="6"/>
    <x v="6"/>
    <x v="5"/>
    <x v="1"/>
    <x v="3"/>
    <x v="3"/>
    <x v="4"/>
    <x v="0"/>
    <n v="50"/>
    <n v="100"/>
    <s v="August"/>
    <s v="unbegrenzt, locker belaubt, wirkt im Jugendstadium schwach, bisweilen bräunliche Blätter die später verschwinden"/>
    <s v="Arche Noah"/>
    <s v="_x0009_Buschbohne, Knoblauch, Kohl, Kohlrabi"/>
    <s v="Basilikum, gegen Mehltau und weiße Fliege_x000a_Tagetes, gegen Nematoden, Viren und weiße Fliege"/>
    <s v="Erbse, Fenchel, Kartoffeln"/>
    <x v="5"/>
    <s v="Das rotes Ochsenherz lässt sich vielfältig verwenden, für Suppen, Saucen und Salate. Die Ausgewogenheit von Süße und Säure ergibt einen sehr guten Geschmack, herzförmig, schwach gerippt und 10-12 cm groß. Ursprünglich stammt die Sorte aus Kroatien."/>
    <n v="0"/>
    <x v="0"/>
  </r>
  <r>
    <x v="52"/>
    <x v="1"/>
    <x v="2"/>
    <s v="Sonne"/>
    <x v="1"/>
    <x v="6"/>
    <s v="unten"/>
    <s v="C"/>
    <x v="1"/>
    <s v="Tomatenhaken"/>
    <x v="0"/>
    <x v="2"/>
    <x v="13"/>
    <x v="13"/>
    <x v="5"/>
    <x v="1"/>
    <x v="3"/>
    <x v="3"/>
    <x v="4"/>
    <x v="0"/>
    <n v="50"/>
    <n v="80"/>
    <s v="Juli"/>
    <s v="Stabtomate wächst bis 1,2 m hoch und hat kartoffelblättriges lockeres Laub"/>
    <s v="Arche Noah"/>
    <s v="_x0009_Buschbohne, Knoblauch, Kohl, Kohlrabi"/>
    <s v="Basilikum, gegen Mehltau und weiße Fliege_x000a_Tagetes, gegen Nematoden, Viren und weiße Fliege"/>
    <s v="Erbse, Fenchel, Kartoffeln"/>
    <x v="11"/>
    <s v="Im Salat kommt der süß-aromatische Geschmack hervorragend zur Geltung. Extrem frühreifend ist die Sorte auch für rauhere Lagen empfehlenswert._x000a_Die roten, runden, ca. 4 cm großen Früchte kann man die ganze Saison über ernten."/>
    <n v="0"/>
    <x v="0"/>
  </r>
  <r>
    <x v="52"/>
    <x v="1"/>
    <x v="2"/>
    <s v="Sonne"/>
    <x v="1"/>
    <x v="6"/>
    <s v="unten"/>
    <s v="C"/>
    <x v="1"/>
    <s v="nein"/>
    <x v="0"/>
    <x v="2"/>
    <x v="7"/>
    <x v="7"/>
    <x v="6"/>
    <x v="3"/>
    <x v="4"/>
    <x v="3"/>
    <x v="0"/>
    <x v="4"/>
    <n v="30"/>
    <n v="30"/>
    <s v="Ganzjährig"/>
    <s v="Busch bis 50 cm"/>
    <s v="samenmaier Bio"/>
    <s v="Tomaten, Gurken, Kohl_x0009_gegen Mehltau und weiße Fliege"/>
    <n v="0"/>
    <n v="0"/>
    <x v="6"/>
    <s v="Bekommt sie genügend Wärme, wächst sie sehr rasch."/>
    <n v="0"/>
    <x v="2"/>
  </r>
  <r>
    <x v="53"/>
    <x v="1"/>
    <x v="2"/>
    <s v="Sonne"/>
    <x v="2"/>
    <x v="7"/>
    <s v="links"/>
    <s v="L"/>
    <x v="10"/>
    <s v="Gitter"/>
    <x v="0"/>
    <x v="2"/>
    <x v="40"/>
    <x v="40"/>
    <x v="17"/>
    <x v="12"/>
    <x v="5"/>
    <x v="13"/>
    <x v="8"/>
    <x v="18"/>
    <n v="50"/>
    <n v="150"/>
    <s v="September"/>
    <s v="1,5 m am Gitter"/>
    <s v="samen hauefl"/>
    <s v="Bohnen, Dill, Erbsen, Fenchel, Kohl, Kopfsalat, Kümmel, Lauch, Mais, Rote Bete, Sellerie, Zwiebeln"/>
    <s v="Basilikum, gegen Mehltau und weiße Fliege_x000a_Borretsch, Insektenbestäubten Pflanzen, z.B. Gurken, Zucchini, Lockt Insekten an"/>
    <s v="Tomaten, Radieschen"/>
    <x v="20"/>
    <s v="Mexikanische Minigurke, grün weiß, junge Früchte roh oder zum Einlegen, auch für Topfkultur geeignet. Brauchen ein feines Rankgerüst, Früchte spät, September, Durchmesser ca. 3 cm, "/>
    <n v="0"/>
    <x v="0"/>
  </r>
  <r>
    <x v="54"/>
    <x v="1"/>
    <x v="2"/>
    <s v="Sonne"/>
    <x v="2"/>
    <x v="7"/>
    <s v="mitte"/>
    <s v="M"/>
    <x v="10"/>
    <s v="Gitter"/>
    <x v="0"/>
    <x v="0"/>
    <x v="41"/>
    <x v="41"/>
    <x v="14"/>
    <x v="13"/>
    <x v="14"/>
    <x v="14"/>
    <x v="3"/>
    <x v="3"/>
    <n v="20"/>
    <n v="20"/>
    <s v="01.07.-31.08."/>
    <s v="einjährige Staude 90 cm"/>
    <s v="Thompson&amp;Morgan"/>
    <n v="0"/>
    <n v="0"/>
    <n v="0"/>
    <x v="21"/>
    <s v="lockt Insekten für die Bestäubung an, hübsch auf dem Salat"/>
    <s v="Forschungen zufolge ist dies eine der besten Blumen, um Honigbienen in den Garten zu locken. Eine fantastische essbare Blume: zum Kristallisieren für Kuchen, als Beigabe zu Salaten oder zum Einfrieren als Eiswürfel zum Gin &amp; Tonic. Mit einer Höhe von 90 cm bildet Borretsch einen dekorativen, selbstsäenden Hintergrund sowohl für die Gemüse- als auch Blumenrabatte."/>
    <x v="2"/>
  </r>
  <r>
    <x v="55"/>
    <x v="1"/>
    <x v="2"/>
    <s v="Sonne"/>
    <x v="2"/>
    <x v="7"/>
    <s v="rechts"/>
    <s v="R"/>
    <x v="10"/>
    <s v="Gitter"/>
    <x v="0"/>
    <x v="2"/>
    <x v="40"/>
    <x v="40"/>
    <x v="17"/>
    <x v="12"/>
    <x v="5"/>
    <x v="13"/>
    <x v="8"/>
    <x v="18"/>
    <n v="50"/>
    <n v="150"/>
    <s v="September"/>
    <s v="1,5 m am Gitter"/>
    <s v="samen hauefl"/>
    <s v="Bohnen, Dill, Erbsen, Fenchel, Kohl, Kopfsalat, Kümmel, Lauch, Mais, Rote Bete, Sellerie, Zwiebeln"/>
    <s v="Basilikum, gegen Mehltau und weiße Fliege_x000a_Borretsch, Insektenbestäubten Pflanzen, z.B. Gurken, Zucchini, Lockt Insekten an"/>
    <s v="Tomaten, Radieschen"/>
    <x v="20"/>
    <s v="Mexikanische Minigurke, grün weiß, junge Früchte roh oder zum Einlegen, auch für Topfkultur geeignet. Brauchen ein feines Rankgerüst, Früchte spät, September, Durchmesser ca. 3 cm, "/>
    <n v="0"/>
    <x v="0"/>
  </r>
  <r>
    <x v="56"/>
    <x v="1"/>
    <x v="3"/>
    <s v="Sonne"/>
    <x v="2"/>
    <x v="8"/>
    <s v="links"/>
    <s v="L"/>
    <x v="10"/>
    <s v="Tomatenhaken"/>
    <x v="0"/>
    <x v="3"/>
    <x v="42"/>
    <x v="42"/>
    <x v="5"/>
    <x v="1"/>
    <x v="3"/>
    <x v="3"/>
    <x v="4"/>
    <x v="0"/>
    <n v="50"/>
    <n v="100"/>
    <s v="Juni"/>
    <s v="unbegrenzt wachsend, stark verzweigt"/>
    <s v="Arche Noah"/>
    <s v="_x0009_Buschbohne, Knoblauch, Kohl, Kohlrabi"/>
    <s v="Basilikum, gegen Mehltau und weiße Fliege_x000a_Tagetes, gegen Nematoden, Viren und weiße Fliege"/>
    <s v="Erbse, Fenchel, Kartoffeln"/>
    <x v="22"/>
    <s v="Cocktailtomate mit winzigen, max. 1,5 cm großen Früchten und süß-säuerlicherm Geschmack. "/>
    <n v="0"/>
    <x v="0"/>
  </r>
  <r>
    <x v="57"/>
    <x v="1"/>
    <x v="3"/>
    <s v="Sonne"/>
    <x v="2"/>
    <x v="8"/>
    <s v="mitte"/>
    <s v="M"/>
    <x v="10"/>
    <s v="nein"/>
    <x v="0"/>
    <x v="1"/>
    <x v="39"/>
    <x v="39"/>
    <x v="7"/>
    <x v="2"/>
    <x v="6"/>
    <x v="5"/>
    <x v="5"/>
    <x v="6"/>
    <n v="5"/>
    <n v="25"/>
    <s v="Mai"/>
    <s v="Jungzwiebel Mai/Juni, Knolle August (wenn Laub knickt)"/>
    <s v="samen greisslerei"/>
    <s v="Bohnenkraut, Erdbeeren, Dill, Kopfsalat,_x000a_Möhren, Rote Bete"/>
    <n v="0"/>
    <s v="Bohnen, Erbsen, Kohl"/>
    <x v="8"/>
    <s v="Diese Sorte zeichnet sich durch feste, dunkelrote, plattrunde bis runde Zwiebeln aus, die gut lagerfähig sind. Sie ist sehr attraktiv als Jungzwiebel, der Schaft leuchtet dunkelrot unter dem grünem Laub hervor. Gute Lagerzwiebel. Nutzung:_x000a_Jungzwiebeln, frisch oder gegart. Küchenzwiebel."/>
    <n v="0"/>
    <x v="4"/>
  </r>
  <r>
    <x v="58"/>
    <x v="1"/>
    <x v="3"/>
    <s v="Sonne"/>
    <x v="2"/>
    <x v="8"/>
    <s v="rechts"/>
    <s v="R"/>
    <x v="10"/>
    <s v="Tomatenstab"/>
    <x v="0"/>
    <x v="3"/>
    <x v="43"/>
    <x v="43"/>
    <x v="7"/>
    <x v="14"/>
    <x v="3"/>
    <x v="3"/>
    <x v="4"/>
    <x v="0"/>
    <n v="50"/>
    <n v="100"/>
    <s v="Juli"/>
    <s v="Stark verzweigte, buschförmig, lange Rispen mit massenhaft Früchte"/>
    <s v="REINSAAT"/>
    <s v="_x0009_Buschbohne, Knoblauch, Kohl, Kohlrabi"/>
    <s v="Basilikum, gegen Mehltau und weiße Fliege_x000a_Tagetes, gegen Nematoden, Viren und weiße Fliege"/>
    <s v="Erbse, Fenchel, Kartoffeln"/>
    <x v="23"/>
    <s v="Stark verzweigte, buschförmig wachsende Wildtomate aus der EHZ von ReinSaat. Bildet an langen Rispen massenhaft runde, kleine, gelbe Früchte mit süßem, kräftigem Wild- tomatenaroma. Pflanzen müssen nur nicht ausgegeizt werden. Ideale Naschtomate für die Topfkultur auf Balkon und Terrasse."/>
    <n v="0"/>
    <x v="0"/>
  </r>
  <r>
    <x v="59"/>
    <x v="1"/>
    <x v="3"/>
    <s v="Halbschatten"/>
    <x v="2"/>
    <x v="9"/>
    <s v="links"/>
    <s v="L"/>
    <x v="10"/>
    <s v="Tomatenstab"/>
    <x v="0"/>
    <x v="0"/>
    <x v="5"/>
    <x v="5"/>
    <x v="5"/>
    <x v="1"/>
    <x v="3"/>
    <x v="3"/>
    <x v="4"/>
    <x v="0"/>
    <n v="50"/>
    <n v="100"/>
    <s v="Juni"/>
    <s v="unbegrenzt"/>
    <s v="Arche Noah"/>
    <s v="_x0009_Buschbohne, Knoblauch, Kohl, Kohlrabi"/>
    <s v="Basilikum, gegen Mehltau und weiße Fliege_x000a_Tagetes, gegen Nematoden, Viren und weiße Fliege"/>
    <s v="Erbse, Fenchel, Kartoffeln"/>
    <x v="4"/>
    <s v="Goldgelbe Cocktailtomate. Die Früchte sind rund und werden ungefähr 2,5-3cm groß. Im Geschmack sehr süß und aromatisch. Unbegrenzt wachsende Pflanze, entwickelt viele Nebentriebe. Seit 1985 aus Tartu, Estland."/>
    <n v="0"/>
    <x v="0"/>
  </r>
  <r>
    <x v="60"/>
    <x v="1"/>
    <x v="3"/>
    <s v="Halbschatten"/>
    <x v="2"/>
    <x v="9"/>
    <s v="mitte"/>
    <s v="M"/>
    <x v="10"/>
    <m/>
    <x v="0"/>
    <x v="2"/>
    <x v="8"/>
    <x v="8"/>
    <x v="1"/>
    <x v="4"/>
    <x v="5"/>
    <x v="4"/>
    <x v="5"/>
    <x v="5"/>
    <n v="60"/>
    <n v="60"/>
    <s v="August"/>
    <s v="Riesenkohlrabi, bis zu 8 kg"/>
    <s v="samenmaier Bio"/>
    <s v="Bohnen, Erbsen, Kartoffeln, Kopfsalat, Tomaten, Radieschen, Rote Bete, Sellerie, Spinat, Lauch"/>
    <n v="0"/>
    <n v="0"/>
    <x v="7"/>
    <s v=" Zur Lagerung und zum Tiefgefrieren bestens geeignet. Alle Kohlarten sind von allen Gemüse-Arten am längsten lagerbar und gelten als typisches Wintergemüse. Schon seit der Steinzeit wird vermutet, dass Kohl als Lebensmittel für uns gedient hat."/>
    <n v="0"/>
    <x v="3"/>
  </r>
  <r>
    <x v="61"/>
    <x v="1"/>
    <x v="3"/>
    <s v="Halbschatten"/>
    <x v="2"/>
    <x v="9"/>
    <s v="rechts"/>
    <s v="R"/>
    <x v="10"/>
    <m/>
    <x v="0"/>
    <x v="2"/>
    <x v="44"/>
    <x v="44"/>
    <x v="18"/>
    <x v="3"/>
    <x v="15"/>
    <x v="1"/>
    <x v="11"/>
    <x v="19"/>
    <n v="30"/>
    <n v="30"/>
    <s v="ganzjährig im Glashaus"/>
    <s v="Busch, Herz immer stehen lassen, 2- jährig"/>
    <s v="own grown"/>
    <n v="0"/>
    <n v="0"/>
    <s v="4 Jahreswechsel mit Doldenblütlern wie z.B. Karrotte"/>
    <x v="24"/>
    <s v="Wichtig ist, dass du immer das Herz der Petersilie intakt lässt. Dieses erkennst du an dem verdickten Stiel, an dessen Seite neue Blätter wachsen. Meist befindet er sich in der Mitte der Pflanze. Wenn du ganze Stängel direkt über dem Boden schneidest, kann das Kraut immer wieder neu austreiben. Achtung: Sollte deine Pflanze blühen, darfst du die Blätter jedoch nicht mehr verwenden, da sie dann schwer verdaulich sind."/>
    <n v="0"/>
    <x v="2"/>
  </r>
  <r>
    <x v="62"/>
    <x v="1"/>
    <x v="3"/>
    <s v="Schatten"/>
    <x v="2"/>
    <x v="10"/>
    <s v="links"/>
    <s v="L"/>
    <x v="10"/>
    <m/>
    <x v="0"/>
    <x v="7"/>
    <x v="45"/>
    <x v="45"/>
    <x v="17"/>
    <x v="15"/>
    <x v="0"/>
    <x v="9"/>
    <x v="0"/>
    <x v="18"/>
    <n v="10"/>
    <n v="10"/>
    <s v="August"/>
    <s v="5 Bohnen pro Stange 2 m"/>
    <s v="Arche Noah"/>
    <s v="Bohnenkraut, Erdbeeren, Gurken, Sellerie, Rote Bete, Kohlarten, Kopfsalat, Pflücksalat, Tomate"/>
    <s v="Bohnenkraut, gegen schwarze Bohnenlaus, Duftstoffe fördern Wachstum und Aroma der Bohnen"/>
    <s v="Erbsen, Fenchel, Knoblauch, Lauch, Zwiebeln"/>
    <x v="25"/>
    <s v="Die violetten Fisolen sind wohlschmeckend, leicht süß, mit Biss und schmecken als Salat oder Gemüse zubereitet. Die Samen sind nierenförmig, hautfarben mit grauer Sprenkelung. Die Sorte stammt aus Italien."/>
    <n v="0"/>
    <x v="1"/>
  </r>
  <r>
    <x v="63"/>
    <x v="1"/>
    <x v="3"/>
    <s v="Schatten"/>
    <x v="2"/>
    <x v="10"/>
    <s v="mitte"/>
    <s v="M"/>
    <x v="10"/>
    <m/>
    <x v="0"/>
    <x v="7"/>
    <x v="45"/>
    <x v="45"/>
    <x v="17"/>
    <x v="15"/>
    <x v="0"/>
    <x v="9"/>
    <x v="0"/>
    <x v="18"/>
    <n v="10"/>
    <n v="10"/>
    <s v="August"/>
    <s v="5 Bohnen pro Stange 2 m"/>
    <s v="Arche Noah"/>
    <s v="Bohnenkraut, Erdbeeren, Gurken, Sellerie, Rote Bete, Kohlarten, Kopfsalat, Pflücksalat, Tomate"/>
    <s v="Bohnenkraut, gegen schwarze Bohnenlaus, Duftstoffe fördern Wachstum und Aroma der Bohnen"/>
    <s v="Erbsen, Fenchel, Knoblauch, Lauch, Zwiebeln"/>
    <x v="25"/>
    <s v="Die violetten Fisolen sind wohlschmeckend, leicht süß, mit Biss und schmecken als Salat oder Gemüse zubereitet. Die Samen sind nierenförmig, hautfarben mit grauer Sprenkelung. Die Sorte stammt aus Italien."/>
    <n v="0"/>
    <x v="1"/>
  </r>
  <r>
    <x v="64"/>
    <x v="1"/>
    <x v="3"/>
    <s v="Schatten"/>
    <x v="2"/>
    <x v="10"/>
    <s v="rechts"/>
    <s v="R"/>
    <x v="10"/>
    <m/>
    <x v="0"/>
    <x v="7"/>
    <x v="45"/>
    <x v="45"/>
    <x v="17"/>
    <x v="15"/>
    <x v="0"/>
    <x v="9"/>
    <x v="0"/>
    <x v="18"/>
    <n v="10"/>
    <n v="10"/>
    <s v="August"/>
    <s v="5 Bohnen pro Stange 2 m"/>
    <s v="Arche Noah"/>
    <s v="Bohnenkraut, Erdbeeren, Gurken, Sellerie, Rote Bete, Kohlarten, Kopfsalat, Pflücksalat, Tomate"/>
    <s v="Bohnenkraut, gegen schwarze Bohnenlaus, Duftstoffe fördern Wachstum und Aroma der Bohnen"/>
    <s v="Erbsen, Fenchel, Knoblauch, Lauch, Zwiebeln"/>
    <x v="25"/>
    <s v="Die violetten Fisolen sind wohlschmeckend, leicht süß, mit Biss und schmecken als Salat oder Gemüse zubereitet. Die Samen sind nierenförmig, hautfarben mit grauer Sprenkelung. Die Sorte stammt aus Italien."/>
    <n v="0"/>
    <x v="1"/>
  </r>
  <r>
    <x v="65"/>
    <x v="1"/>
    <x v="3"/>
    <s v="Schatten"/>
    <x v="2"/>
    <x v="11"/>
    <s v="links"/>
    <s v="L"/>
    <x v="10"/>
    <m/>
    <x v="0"/>
    <x v="7"/>
    <x v="46"/>
    <x v="46"/>
    <x v="17"/>
    <x v="15"/>
    <x v="0"/>
    <x v="9"/>
    <x v="0"/>
    <x v="18"/>
    <n v="10"/>
    <n v="10"/>
    <s v="August"/>
    <s v="5 Bohnen pro Stange 2 m"/>
    <s v="Sorten WERKSTATT"/>
    <s v="Bohnenkraut, Erdbeeren, Gurken, Sellerie, Rote Bete, Kohlarten, Kopfsalat, Pflücksalat, Tomate"/>
    <s v="Bohnenkraut, gegen schwarze Bohnenlaus, Duftstoffe fördern Wachstum und Aroma der Bohnen"/>
    <s v="Erbsen, Fenchel, Knoblauch, Lauch, Zwiebeln"/>
    <x v="25"/>
    <s v="Alte Sorte aus der Südsteiermark, von einer Arche Noah Erhalterin bekommen. Leicht gebogene grüne Fisolen, fadenlos, die sehr knackig sind, wenn man sie dünstet. Die schwarzen Samen kann man als Trockenbohnen nutzen. Enthält mind. 30 Samen sortenreines Saatgut."/>
    <n v="0"/>
    <x v="1"/>
  </r>
  <r>
    <x v="66"/>
    <x v="1"/>
    <x v="3"/>
    <s v="Schatten"/>
    <x v="2"/>
    <x v="11"/>
    <s v="mitte"/>
    <s v="M"/>
    <x v="10"/>
    <m/>
    <x v="0"/>
    <x v="7"/>
    <x v="46"/>
    <x v="46"/>
    <x v="17"/>
    <x v="15"/>
    <x v="0"/>
    <x v="9"/>
    <x v="0"/>
    <x v="18"/>
    <n v="10"/>
    <n v="10"/>
    <s v="August"/>
    <s v="5 Bohnen pro Stange 2 m"/>
    <s v="Sorten WERKSTATT"/>
    <s v="Bohnenkraut, Erdbeeren, Gurken, Sellerie, Rote Bete, Kohlarten, Kopfsalat, Pflücksalat, Tomate"/>
    <s v="Bohnenkraut, gegen schwarze Bohnenlaus, Duftstoffe fördern Wachstum und Aroma der Bohnen"/>
    <s v="Erbsen, Fenchel, Knoblauch, Lauch, Zwiebeln"/>
    <x v="25"/>
    <s v="Alte Sorte aus der Südsteiermark, von einer Arche Noah Erhalterin bekommen. Leicht gebogene grüne Fisolen, fadenlos, die sehr knackig sind, wenn man sie dünstet. Die schwarzen Samen kann man als Trockenbohnen nutzen. Enthält mind. 30 Samen sortenreines Saatgut."/>
    <n v="0"/>
    <x v="1"/>
  </r>
  <r>
    <x v="67"/>
    <x v="1"/>
    <x v="3"/>
    <s v="Schatten"/>
    <x v="2"/>
    <x v="11"/>
    <s v="rechts"/>
    <s v="R"/>
    <x v="10"/>
    <m/>
    <x v="0"/>
    <x v="7"/>
    <x v="46"/>
    <x v="46"/>
    <x v="17"/>
    <x v="15"/>
    <x v="0"/>
    <x v="9"/>
    <x v="0"/>
    <x v="18"/>
    <n v="10"/>
    <n v="10"/>
    <s v="August"/>
    <s v="5 Bohnen pro Stange 2 m"/>
    <s v="Sorten WERKSTATT"/>
    <s v="Bohnenkraut, Erdbeeren, Gurken, Sellerie, Rote Bete, Kohlarten, Kopfsalat, Pflücksalat, Tomate"/>
    <s v="Bohnenkraut, gegen schwarze Bohnenlaus, Duftstoffe fördern Wachstum und Aroma der Bohnen"/>
    <s v="Erbsen, Fenchel, Knoblauch, Lauch, Zwiebeln"/>
    <x v="25"/>
    <s v="Alte Sorte aus der Südsteiermark, von einer Arche Noah Erhalterin bekommen. Leicht gebogene grüne Fisolen, fadenlos, die sehr knackig sind, wenn man sie dünstet. Die schwarzen Samen kann man als Trockenbohnen nutzen. Enthält mind. 30 Samen sortenreines Saatgut."/>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552893-ECFA-4BDA-8401-F54CB9BDD95D}" name="PivotTable1" cacheId="0" applyNumberFormats="0" applyBorderFormats="0" applyFontFormats="0" applyPatternFormats="0" applyAlignmentFormats="0" applyWidthHeightFormats="1" dataCaption="Werte" updatedVersion="8" minRefreshableVersion="3" useAutoFormatting="1" itemPrintTitles="1" createdVersion="8" indent="0" compact="0" compactData="0" multipleFieldFilters="0">
  <location ref="A5:J64" firstHeaderRow="1" firstDataRow="1" firstDataCol="9" rowPageCount="3" colPageCount="1"/>
  <pivotFields count="32">
    <pivotField compact="0" outline="0" showAll="0" sortType="ascending" defaultSubtotal="0">
      <extLst>
        <ext xmlns:x14="http://schemas.microsoft.com/office/spreadsheetml/2009/9/main" uri="{2946ED86-A175-432a-8AC1-64E0C546D7DE}">
          <x14:pivotField fillDownLabels="1"/>
        </ext>
      </extLst>
    </pivotField>
    <pivotField axis="axisPage" compact="0" outline="0" showAll="0" defaultSubtotal="0">
      <items count="2">
        <item x="1"/>
        <item x="0"/>
      </items>
      <extLst>
        <ext xmlns:x14="http://schemas.microsoft.com/office/spreadsheetml/2009/9/main" uri="{2946ED86-A175-432a-8AC1-64E0C546D7DE}">
          <x14:pivotField fillDownLabels="1"/>
        </ext>
      </extLst>
    </pivotField>
    <pivotField axis="axisPage" compact="0" outline="0" showAll="0" defaultSubtotal="0">
      <items count="4">
        <item x="0"/>
        <item x="3"/>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m="1" x="2"/>
        <item x="1"/>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2">
        <item x="6"/>
        <item x="13"/>
        <item x="7"/>
        <item x="8"/>
        <item x="34"/>
        <item x="5"/>
        <item x="4"/>
        <item x="18"/>
        <item x="42"/>
        <item x="20"/>
        <item x="21"/>
        <item x="24"/>
        <item x="27"/>
        <item x="16"/>
        <item m="1" x="50"/>
        <item x="11"/>
        <item x="0"/>
        <item x="17"/>
        <item x="26"/>
        <item x="23"/>
        <item x="39"/>
        <item x="35"/>
        <item x="22"/>
        <item m="1" x="51"/>
        <item x="32"/>
        <item x="40"/>
        <item x="38"/>
        <item x="43"/>
        <item x="36"/>
        <item x="45"/>
        <item x="46"/>
        <item x="30"/>
        <item x="31"/>
        <item x="12"/>
        <item x="15"/>
        <item m="1" x="49"/>
        <item x="2"/>
        <item x="9"/>
        <item x="10"/>
        <item x="25"/>
        <item m="1" x="47"/>
        <item m="1" x="48"/>
        <item x="19"/>
        <item x="1"/>
        <item x="3"/>
        <item x="14"/>
        <item x="41"/>
        <item x="37"/>
        <item x="28"/>
        <item x="29"/>
        <item x="33"/>
        <item x="44"/>
      </items>
      <extLst>
        <ext xmlns:x14="http://schemas.microsoft.com/office/spreadsheetml/2009/9/main" uri="{2946ED86-A175-432a-8AC1-64E0C546D7DE}">
          <x14:pivotField fillDownLabels="1"/>
        </ext>
      </extLst>
    </pivotField>
    <pivotField axis="axisRow" compact="0" outline="0" showAll="0" defaultSubtotal="0">
      <items count="60">
        <item m="1" x="59"/>
        <item m="1" x="51"/>
        <item x="12"/>
        <item x="7"/>
        <item x="16"/>
        <item x="0"/>
        <item m="1" x="54"/>
        <item m="1" x="52"/>
        <item m="1" x="53"/>
        <item m="1" x="49"/>
        <item x="6"/>
        <item m="1" x="58"/>
        <item x="40"/>
        <item x="38"/>
        <item x="30"/>
        <item x="18"/>
        <item x="8"/>
        <item x="35"/>
        <item x="15"/>
        <item m="1" x="57"/>
        <item x="17"/>
        <item x="24"/>
        <item x="23"/>
        <item x="31"/>
        <item x="26"/>
        <item x="13"/>
        <item x="20"/>
        <item x="21"/>
        <item x="27"/>
        <item x="46"/>
        <item x="45"/>
        <item x="34"/>
        <item x="36"/>
        <item x="4"/>
        <item x="11"/>
        <item x="39"/>
        <item m="1" x="56"/>
        <item x="2"/>
        <item x="9"/>
        <item x="10"/>
        <item x="25"/>
        <item m="1" x="47"/>
        <item x="19"/>
        <item m="1" x="55"/>
        <item x="41"/>
        <item m="1" x="50"/>
        <item x="5"/>
        <item x="42"/>
        <item x="43"/>
        <item x="1"/>
        <item x="3"/>
        <item x="14"/>
        <item x="22"/>
        <item x="32"/>
        <item m="1" x="48"/>
        <item x="37"/>
        <item x="28"/>
        <item x="29"/>
        <item x="33"/>
        <item x="44"/>
      </items>
      <extLst>
        <ext xmlns:x14="http://schemas.microsoft.com/office/spreadsheetml/2009/9/main" uri="{2946ED86-A175-432a-8AC1-64E0C546D7DE}">
          <x14:pivotField fillDownLabels="1"/>
        </ext>
      </extLst>
    </pivotField>
    <pivotField axis="axisRow" compact="0" outline="0" showAll="0" defaultSubtotal="0">
      <items count="19">
        <item x="9"/>
        <item x="13"/>
        <item x="11"/>
        <item x="6"/>
        <item x="12"/>
        <item x="2"/>
        <item x="7"/>
        <item x="0"/>
        <item x="8"/>
        <item x="1"/>
        <item x="5"/>
        <item x="16"/>
        <item x="17"/>
        <item x="4"/>
        <item x="3"/>
        <item x="10"/>
        <item x="14"/>
        <item x="15"/>
        <item x="18"/>
      </items>
      <extLst>
        <ext xmlns:x14="http://schemas.microsoft.com/office/spreadsheetml/2009/9/main" uri="{2946ED86-A175-432a-8AC1-64E0C546D7DE}">
          <x14:pivotField fillDownLabels="1"/>
        </ext>
      </extLst>
    </pivotField>
    <pivotField axis="axisRow" compact="0" outline="0" showAll="0" defaultSubtotal="0">
      <items count="16">
        <item x="7"/>
        <item x="9"/>
        <item x="2"/>
        <item x="15"/>
        <item x="10"/>
        <item x="4"/>
        <item x="3"/>
        <item x="14"/>
        <item x="1"/>
        <item x="8"/>
        <item x="6"/>
        <item x="12"/>
        <item x="0"/>
        <item x="11"/>
        <item x="5"/>
        <item x="13"/>
      </items>
      <extLst>
        <ext xmlns:x14="http://schemas.microsoft.com/office/spreadsheetml/2009/9/main" uri="{2946ED86-A175-432a-8AC1-64E0C546D7DE}">
          <x14:pivotField fillDownLabels="1"/>
        </ext>
      </extLst>
    </pivotField>
    <pivotField axis="axisRow" compact="0" outline="0" showAll="0" defaultSubtotal="0">
      <items count="16">
        <item x="8"/>
        <item x="0"/>
        <item x="4"/>
        <item x="6"/>
        <item x="11"/>
        <item x="12"/>
        <item x="5"/>
        <item x="7"/>
        <item x="3"/>
        <item x="2"/>
        <item x="9"/>
        <item x="1"/>
        <item x="10"/>
        <item x="14"/>
        <item x="13"/>
        <item x="15"/>
      </items>
      <extLst>
        <ext xmlns:x14="http://schemas.microsoft.com/office/spreadsheetml/2009/9/main" uri="{2946ED86-A175-432a-8AC1-64E0C546D7DE}">
          <x14:pivotField fillDownLabels="1"/>
        </ext>
      </extLst>
    </pivotField>
    <pivotField axis="axisRow" compact="0" outline="0" showAll="0" defaultSubtotal="0">
      <items count="15">
        <item x="6"/>
        <item x="4"/>
        <item x="2"/>
        <item x="8"/>
        <item x="1"/>
        <item x="0"/>
        <item x="11"/>
        <item x="7"/>
        <item x="10"/>
        <item x="5"/>
        <item x="13"/>
        <item x="9"/>
        <item x="3"/>
        <item x="14"/>
        <item x="1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0">
        <item x="8"/>
        <item x="11"/>
        <item x="13"/>
        <item x="6"/>
        <item x="12"/>
        <item x="3"/>
        <item x="5"/>
        <item x="7"/>
        <item x="18"/>
        <item x="15"/>
        <item x="2"/>
        <item x="10"/>
        <item x="14"/>
        <item x="4"/>
        <item x="0"/>
        <item x="1"/>
        <item x="9"/>
        <item x="16"/>
        <item x="17"/>
        <item x="1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items count="10">
        <item x="5"/>
        <item x="6"/>
        <item x="0"/>
        <item x="1"/>
        <item x="2"/>
        <item x="7"/>
        <item x="3"/>
        <item x="4"/>
        <item x="8"/>
        <item t="default"/>
      </items>
      <extLst>
        <ext xmlns:x14="http://schemas.microsoft.com/office/spreadsheetml/2009/9/main" uri="{2946ED86-A175-432a-8AC1-64E0C546D7DE}">
          <x14:pivotField fillDownLabels="1"/>
        </ext>
      </extLst>
    </pivotField>
  </pivotFields>
  <rowFields count="9">
    <field x="31"/>
    <field x="12"/>
    <field x="13"/>
    <field x="14"/>
    <field x="15"/>
    <field x="16"/>
    <field x="17"/>
    <field x="19"/>
    <field x="10"/>
  </rowFields>
  <rowItems count="59">
    <i>
      <x/>
      <x v="33"/>
      <x v="2"/>
      <x/>
      <x/>
      <x/>
      <x/>
      <x/>
      <x/>
    </i>
    <i r="1">
      <x v="34"/>
      <x v="18"/>
      <x/>
      <x/>
      <x/>
      <x/>
      <x/>
      <x/>
    </i>
    <i r="8">
      <x v="2"/>
    </i>
    <i r="1">
      <x v="39"/>
      <x v="40"/>
      <x/>
      <x/>
      <x/>
      <x/>
      <x/>
      <x v="2"/>
    </i>
    <i r="1">
      <x v="47"/>
      <x v="55"/>
      <x/>
      <x/>
      <x/>
      <x/>
      <x/>
      <x/>
    </i>
    <i t="default">
      <x/>
    </i>
    <i>
      <x v="1"/>
      <x v="4"/>
      <x v="31"/>
      <x v="17"/>
      <x v="1"/>
      <x v="14"/>
      <x v="12"/>
      <x v="18"/>
      <x/>
    </i>
    <i r="1">
      <x v="9"/>
      <x v="26"/>
      <x v="2"/>
      <x v="2"/>
      <x v="10"/>
      <x v="7"/>
      <x v="11"/>
      <x/>
    </i>
    <i r="1">
      <x v="10"/>
      <x v="27"/>
      <x v="2"/>
      <x v="1"/>
      <x v="7"/>
      <x v="7"/>
      <x v="1"/>
      <x/>
    </i>
    <i r="1">
      <x v="11"/>
      <x v="21"/>
      <x v="4"/>
      <x v="4"/>
      <x/>
      <x v="3"/>
      <x v="4"/>
      <x/>
    </i>
    <i r="1">
      <x v="12"/>
      <x v="28"/>
      <x v="1"/>
      <x v="1"/>
      <x v="7"/>
      <x v="11"/>
      <x v="2"/>
      <x/>
    </i>
    <i r="1">
      <x v="18"/>
      <x v="24"/>
      <x v="4"/>
      <x v="4"/>
      <x/>
      <x v="3"/>
      <x v="4"/>
      <x/>
    </i>
    <i r="8">
      <x v="2"/>
    </i>
    <i r="1">
      <x v="19"/>
      <x v="22"/>
      <x v="4"/>
      <x v="4"/>
      <x/>
      <x v="3"/>
      <x v="4"/>
      <x/>
    </i>
    <i t="default">
      <x v="1"/>
    </i>
    <i>
      <x v="2"/>
      <x/>
      <x v="10"/>
      <x v="10"/>
      <x v="8"/>
      <x v="8"/>
      <x v="12"/>
      <x v="14"/>
      <x/>
    </i>
    <i r="1">
      <x v="1"/>
      <x v="25"/>
      <x v="10"/>
      <x v="8"/>
      <x v="8"/>
      <x v="12"/>
      <x v="14"/>
      <x/>
    </i>
    <i r="1">
      <x v="5"/>
      <x v="46"/>
      <x v="10"/>
      <x v="8"/>
      <x v="8"/>
      <x v="12"/>
      <x v="14"/>
      <x/>
    </i>
    <i r="1">
      <x v="8"/>
      <x v="47"/>
      <x v="10"/>
      <x v="8"/>
      <x v="8"/>
      <x v="12"/>
      <x v="14"/>
      <x/>
    </i>
    <i r="1">
      <x v="13"/>
      <x v="4"/>
      <x v="7"/>
      <x v="12"/>
      <x v="1"/>
      <x v="5"/>
      <x v="14"/>
      <x/>
    </i>
    <i r="1">
      <x v="15"/>
      <x v="34"/>
      <x v="8"/>
      <x v="10"/>
      <x v="7"/>
      <x/>
      <x v="7"/>
      <x/>
    </i>
    <i r="1">
      <x v="16"/>
      <x v="5"/>
      <x v="7"/>
      <x v="12"/>
      <x v="1"/>
      <x v="5"/>
      <x v="14"/>
      <x/>
    </i>
    <i r="1">
      <x v="17"/>
      <x v="20"/>
      <x v="5"/>
      <x v="9"/>
      <x v="1"/>
      <x v="4"/>
      <x v="14"/>
      <x/>
    </i>
    <i r="1">
      <x v="22"/>
      <x v="52"/>
      <x v="4"/>
      <x v="8"/>
      <x v="12"/>
      <x v="7"/>
      <x v="14"/>
      <x/>
    </i>
    <i r="1">
      <x v="25"/>
      <x v="12"/>
      <x v="12"/>
      <x v="11"/>
      <x v="6"/>
      <x v="10"/>
      <x v="8"/>
      <x/>
    </i>
    <i r="1">
      <x v="26"/>
      <x v="13"/>
      <x v="12"/>
      <x v="11"/>
      <x v="6"/>
      <x v="10"/>
      <x v="8"/>
      <x/>
    </i>
    <i r="1">
      <x v="27"/>
      <x v="48"/>
      <x v="6"/>
      <x v="7"/>
      <x v="8"/>
      <x v="12"/>
      <x v="14"/>
      <x/>
    </i>
    <i r="1">
      <x v="28"/>
      <x v="32"/>
      <x v="11"/>
      <x v="6"/>
      <x v="7"/>
      <x v="10"/>
      <x v="10"/>
      <x/>
    </i>
    <i r="1">
      <x v="36"/>
      <x v="37"/>
      <x v="5"/>
      <x v="8"/>
      <x v="11"/>
      <x v="4"/>
      <x v="15"/>
      <x/>
    </i>
    <i r="1">
      <x v="42"/>
      <x v="42"/>
      <x v="15"/>
      <x v="8"/>
      <x v="8"/>
      <x v="12"/>
      <x v="14"/>
      <x/>
    </i>
    <i r="1">
      <x v="43"/>
      <x v="49"/>
      <x v="9"/>
      <x v="8"/>
      <x v="1"/>
      <x v="5"/>
      <x v="14"/>
      <x/>
    </i>
    <i r="1">
      <x v="44"/>
      <x v="50"/>
      <x v="14"/>
      <x v="8"/>
      <x v="11"/>
      <x v="4"/>
      <x v="10"/>
      <x/>
    </i>
    <i r="1">
      <x v="45"/>
      <x v="51"/>
      <x v="6"/>
      <x v="8"/>
      <x v="8"/>
      <x v="4"/>
      <x v="16"/>
      <x/>
    </i>
    <i t="default">
      <x v="2"/>
    </i>
    <i>
      <x v="3"/>
      <x v="6"/>
      <x v="33"/>
      <x v="13"/>
      <x v="2"/>
      <x v="9"/>
      <x v="2"/>
      <x v="5"/>
      <x/>
    </i>
    <i r="1">
      <x v="7"/>
      <x v="15"/>
      <x v="13"/>
      <x v="2"/>
      <x v="9"/>
      <x v="2"/>
      <x v="5"/>
      <x/>
    </i>
    <i r="1">
      <x v="29"/>
      <x v="30"/>
      <x v="12"/>
      <x v="3"/>
      <x v="1"/>
      <x v="11"/>
      <x v="8"/>
      <x/>
    </i>
    <i r="1">
      <x v="30"/>
      <x v="29"/>
      <x v="12"/>
      <x v="3"/>
      <x v="1"/>
      <x v="11"/>
      <x v="8"/>
      <x/>
    </i>
    <i t="default">
      <x v="3"/>
    </i>
    <i>
      <x v="4"/>
      <x v="2"/>
      <x v="3"/>
      <x v="3"/>
      <x v="6"/>
      <x v="2"/>
      <x v="12"/>
      <x v="13"/>
      <x/>
    </i>
    <i r="1">
      <x v="21"/>
      <x v="17"/>
      <x/>
      <x/>
      <x/>
      <x/>
      <x v="14"/>
      <x/>
    </i>
    <i r="1">
      <x v="38"/>
      <x v="39"/>
      <x v="6"/>
      <x v="14"/>
      <x v="3"/>
      <x v="4"/>
      <x v="3"/>
      <x/>
    </i>
    <i r="1">
      <x v="46"/>
      <x v="44"/>
      <x v="16"/>
      <x v="15"/>
      <x v="13"/>
      <x v="13"/>
      <x v="5"/>
      <x/>
    </i>
    <i r="1">
      <x v="48"/>
      <x v="56"/>
      <x/>
      <x/>
      <x/>
      <x/>
      <x/>
      <x/>
    </i>
    <i r="1">
      <x v="49"/>
      <x v="57"/>
      <x/>
      <x/>
      <x/>
      <x/>
      <x/>
      <x/>
    </i>
    <i r="1">
      <x v="50"/>
      <x v="58"/>
      <x v="16"/>
      <x v="2"/>
      <x v="6"/>
      <x v="14"/>
      <x v="17"/>
      <x/>
    </i>
    <i r="1">
      <x v="51"/>
      <x v="59"/>
      <x v="18"/>
      <x v="6"/>
      <x v="15"/>
      <x v="4"/>
      <x v="19"/>
      <x/>
    </i>
    <i t="default">
      <x v="4"/>
    </i>
    <i>
      <x v="5"/>
      <x v="31"/>
      <x v="14"/>
      <x/>
      <x v="2"/>
      <x v="4"/>
      <x v="8"/>
      <x v="12"/>
      <x/>
    </i>
    <i r="1">
      <x v="32"/>
      <x v="23"/>
      <x/>
      <x v="13"/>
      <x v="5"/>
      <x v="6"/>
      <x v="9"/>
      <x/>
    </i>
    <i t="default">
      <x v="5"/>
    </i>
    <i>
      <x v="6"/>
      <x v="3"/>
      <x v="16"/>
      <x v="9"/>
      <x v="5"/>
      <x v="6"/>
      <x v="1"/>
      <x v="6"/>
      <x/>
    </i>
    <i t="default">
      <x v="6"/>
    </i>
    <i>
      <x v="7"/>
      <x v="20"/>
      <x v="35"/>
      <x v="6"/>
      <x v="2"/>
      <x v="3"/>
      <x v="9"/>
      <x v="3"/>
      <x/>
    </i>
    <i r="1">
      <x v="37"/>
      <x v="38"/>
      <x v="6"/>
      <x v="2"/>
      <x v="3"/>
      <x v="9"/>
      <x v="3"/>
      <x/>
    </i>
    <i t="default">
      <x v="7"/>
    </i>
    <i>
      <x v="8"/>
      <x v="24"/>
      <x v="53"/>
      <x/>
      <x/>
      <x/>
      <x/>
      <x v="14"/>
      <x/>
    </i>
    <i t="default">
      <x v="8"/>
    </i>
    <i t="grand">
      <x/>
    </i>
  </rowItems>
  <colItems count="1">
    <i/>
  </colItems>
  <pageFields count="3">
    <pageField fld="1" hier="-1"/>
    <pageField fld="2" hier="-1"/>
    <pageField fld="4" hier="-1"/>
  </pageFields>
  <dataFields count="1">
    <dataField name="AZ" fld="11" baseField="19" baseItem="6"/>
  </dataFields>
  <formats count="302">
    <format dxfId="2246">
      <pivotArea dataOnly="0" labelOnly="1" outline="0" fieldPosition="0">
        <references count="1">
          <reference field="17" count="0"/>
        </references>
      </pivotArea>
    </format>
    <format dxfId="2245">
      <pivotArea dataOnly="0" labelOnly="1" outline="0" fieldPosition="0">
        <references count="1">
          <reference field="12" count="0"/>
        </references>
      </pivotArea>
    </format>
    <format dxfId="2244">
      <pivotArea dataOnly="0" labelOnly="1" outline="0" fieldPosition="0">
        <references count="8">
          <reference field="12" count="1" selected="0">
            <x v="19"/>
          </reference>
          <reference field="13" count="1" selected="0">
            <x v="22"/>
          </reference>
          <reference field="14" count="1" selected="0">
            <x v="4"/>
          </reference>
          <reference field="15" count="1" selected="0">
            <x v="4"/>
          </reference>
          <reference field="16" count="1" selected="0">
            <x v="0"/>
          </reference>
          <reference field="17" count="1" selected="0">
            <x v="3"/>
          </reference>
          <reference field="19" count="1">
            <x v="4"/>
          </reference>
          <reference field="31" count="1" selected="0">
            <x v="1"/>
          </reference>
        </references>
      </pivotArea>
    </format>
    <format dxfId="2243">
      <pivotArea dataOnly="0" labelOnly="1" outline="0" fieldPosition="0">
        <references count="8">
          <reference field="12" count="1" selected="0">
            <x v="1"/>
          </reference>
          <reference field="13" count="1" selected="0">
            <x v="25"/>
          </reference>
          <reference field="14" count="1" selected="0">
            <x v="10"/>
          </reference>
          <reference field="15" count="1" selected="0">
            <x v="8"/>
          </reference>
          <reference field="16" count="1" selected="0">
            <x v="8"/>
          </reference>
          <reference field="17" count="1" selected="0">
            <x v="12"/>
          </reference>
          <reference field="19" count="1">
            <x v="14"/>
          </reference>
          <reference field="31" count="1" selected="0">
            <x v="2"/>
          </reference>
        </references>
      </pivotArea>
    </format>
    <format dxfId="2242">
      <pivotArea dataOnly="0" labelOnly="1" outline="0" fieldPosition="0">
        <references count="8">
          <reference field="12" count="1" selected="0">
            <x v="5"/>
          </reference>
          <reference field="13" count="1" selected="0">
            <x v="7"/>
          </reference>
          <reference field="14" count="1" selected="0">
            <x v="10"/>
          </reference>
          <reference field="15" count="1" selected="0">
            <x v="8"/>
          </reference>
          <reference field="16" count="1" selected="0">
            <x v="8"/>
          </reference>
          <reference field="17" count="1" selected="0">
            <x v="12"/>
          </reference>
          <reference field="19" count="1">
            <x v="14"/>
          </reference>
          <reference field="31" count="1" selected="0">
            <x v="2"/>
          </reference>
        </references>
      </pivotArea>
    </format>
    <format dxfId="2241">
      <pivotArea dataOnly="0" labelOnly="1" outline="0" fieldPosition="0">
        <references count="8">
          <reference field="12" count="1" selected="0">
            <x v="8"/>
          </reference>
          <reference field="13" count="1" selected="0">
            <x v="8"/>
          </reference>
          <reference field="14" count="1" selected="0">
            <x v="10"/>
          </reference>
          <reference field="15" count="1" selected="0">
            <x v="8"/>
          </reference>
          <reference field="16" count="1" selected="0">
            <x v="8"/>
          </reference>
          <reference field="17" count="1" selected="0">
            <x v="12"/>
          </reference>
          <reference field="19" count="1">
            <x v="14"/>
          </reference>
          <reference field="31" count="1" selected="0">
            <x v="2"/>
          </reference>
        </references>
      </pivotArea>
    </format>
    <format dxfId="2240">
      <pivotArea dataOnly="0" labelOnly="1" outline="0" fieldPosition="0">
        <references count="8">
          <reference field="12" count="1" selected="0">
            <x v="13"/>
          </reference>
          <reference field="13" count="1" selected="0">
            <x v="4"/>
          </reference>
          <reference field="14" count="1" selected="0">
            <x v="7"/>
          </reference>
          <reference field="15" count="1" selected="0">
            <x v="12"/>
          </reference>
          <reference field="16" count="1" selected="0">
            <x v="1"/>
          </reference>
          <reference field="17" count="1" selected="0">
            <x v="5"/>
          </reference>
          <reference field="19" count="1">
            <x v="14"/>
          </reference>
          <reference field="31" count="1" selected="0">
            <x v="2"/>
          </reference>
        </references>
      </pivotArea>
    </format>
    <format dxfId="2239">
      <pivotArea dataOnly="0" labelOnly="1" outline="0" fieldPosition="0">
        <references count="8">
          <reference field="12" count="1" selected="0">
            <x v="14"/>
          </reference>
          <reference field="13" count="1" selected="0">
            <x v="19"/>
          </reference>
          <reference field="14" count="1" selected="0">
            <x v="5"/>
          </reference>
          <reference field="15" count="1" selected="0">
            <x v="9"/>
          </reference>
          <reference field="16" count="1" selected="0">
            <x v="1"/>
          </reference>
          <reference field="17" count="1" selected="0">
            <x v="4"/>
          </reference>
          <reference field="19" count="1">
            <x v="14"/>
          </reference>
          <reference field="31" count="1" selected="0">
            <x v="2"/>
          </reference>
        </references>
      </pivotArea>
    </format>
    <format dxfId="2238">
      <pivotArea dataOnly="0" labelOnly="1" outline="0" fieldPosition="0">
        <references count="8">
          <reference field="12" count="1" selected="0">
            <x v="17"/>
          </reference>
          <reference field="13" count="1" selected="0">
            <x v="20"/>
          </reference>
          <reference field="14" count="1" selected="0">
            <x v="5"/>
          </reference>
          <reference field="15" count="1" selected="0">
            <x v="9"/>
          </reference>
          <reference field="16" count="1" selected="0">
            <x v="1"/>
          </reference>
          <reference field="17" count="1" selected="0">
            <x v="4"/>
          </reference>
          <reference field="19" count="1">
            <x v="14"/>
          </reference>
          <reference field="31" count="1" selected="0">
            <x v="2"/>
          </reference>
        </references>
      </pivotArea>
    </format>
    <format dxfId="2237">
      <pivotArea dataOnly="0" labelOnly="1" outline="0" fieldPosition="0">
        <references count="8">
          <reference field="12" count="1" selected="0">
            <x v="22"/>
          </reference>
          <reference field="13" count="1" selected="0">
            <x v="1"/>
          </reference>
          <reference field="14" count="1" selected="0">
            <x v="7"/>
          </reference>
          <reference field="15" count="1" selected="0">
            <x v="0"/>
          </reference>
          <reference field="16" count="1" selected="0">
            <x v="0"/>
          </reference>
          <reference field="17" count="1" selected="0">
            <x v="0"/>
          </reference>
          <reference field="19" count="1">
            <x v="14"/>
          </reference>
          <reference field="31" count="1" selected="0">
            <x v="2"/>
          </reference>
        </references>
      </pivotArea>
    </format>
    <format dxfId="2236">
      <pivotArea dataOnly="0" labelOnly="1" outline="0" fieldPosition="0">
        <references count="8">
          <reference field="12" count="1" selected="0">
            <x v="7"/>
          </reference>
          <reference field="13" count="1" selected="0">
            <x v="15"/>
          </reference>
          <reference field="14" count="1" selected="0">
            <x v="13"/>
          </reference>
          <reference field="15" count="1" selected="0">
            <x v="2"/>
          </reference>
          <reference field="16" count="1" selected="0">
            <x v="9"/>
          </reference>
          <reference field="17" count="1" selected="0">
            <x v="2"/>
          </reference>
          <reference field="19" count="1">
            <x v="5"/>
          </reference>
          <reference field="31" count="1" selected="0">
            <x v="3"/>
          </reference>
        </references>
      </pivotArea>
    </format>
    <format dxfId="2235">
      <pivotArea dataOnly="0" labelOnly="1" outline="0" fieldPosition="0">
        <references count="2">
          <reference field="12" count="8">
            <x v="3"/>
            <x v="4"/>
            <x v="9"/>
            <x v="10"/>
            <x v="11"/>
            <x v="12"/>
            <x v="18"/>
            <x v="19"/>
          </reference>
          <reference field="31" count="1" selected="0">
            <x v="1"/>
          </reference>
        </references>
      </pivotArea>
    </format>
    <format dxfId="2234">
      <pivotArea dataOnly="0" labelOnly="1" outline="0" fieldPosition="0">
        <references count="3">
          <reference field="12" count="1" selected="0">
            <x v="3"/>
          </reference>
          <reference field="13" count="1">
            <x v="16"/>
          </reference>
          <reference field="31" count="1" selected="0">
            <x v="1"/>
          </reference>
        </references>
      </pivotArea>
    </format>
    <format dxfId="2233">
      <pivotArea dataOnly="0" labelOnly="1" outline="0" fieldPosition="0">
        <references count="3">
          <reference field="12" count="1" selected="0">
            <x v="4"/>
          </reference>
          <reference field="13" count="1">
            <x v="31"/>
          </reference>
          <reference field="31" count="1" selected="0">
            <x v="1"/>
          </reference>
        </references>
      </pivotArea>
    </format>
    <format dxfId="2232">
      <pivotArea dataOnly="0" labelOnly="1" outline="0" fieldPosition="0">
        <references count="4">
          <reference field="12" count="1" selected="0">
            <x v="3"/>
          </reference>
          <reference field="13" count="1" selected="0">
            <x v="16"/>
          </reference>
          <reference field="14" count="1">
            <x v="9"/>
          </reference>
          <reference field="31" count="1" selected="0">
            <x v="1"/>
          </reference>
        </references>
      </pivotArea>
    </format>
    <format dxfId="2231">
      <pivotArea dataOnly="0" labelOnly="1" outline="0" fieldPosition="0">
        <references count="5">
          <reference field="12" count="1" selected="0">
            <x v="3"/>
          </reference>
          <reference field="13" count="1" selected="0">
            <x v="16"/>
          </reference>
          <reference field="14" count="1" selected="0">
            <x v="9"/>
          </reference>
          <reference field="15" count="1">
            <x v="5"/>
          </reference>
          <reference field="31" count="1" selected="0">
            <x v="1"/>
          </reference>
        </references>
      </pivotArea>
    </format>
    <format dxfId="2230">
      <pivotArea dataOnly="0" labelOnly="1" outline="0" fieldPosition="0">
        <references count="6">
          <reference field="12" count="1" selected="0">
            <x v="3"/>
          </reference>
          <reference field="13" count="1" selected="0">
            <x v="16"/>
          </reference>
          <reference field="14" count="1" selected="0">
            <x v="9"/>
          </reference>
          <reference field="15" count="1" selected="0">
            <x v="5"/>
          </reference>
          <reference field="16" count="1">
            <x v="6"/>
          </reference>
          <reference field="31" count="1" selected="0">
            <x v="1"/>
          </reference>
        </references>
      </pivotArea>
    </format>
    <format dxfId="2229">
      <pivotArea dataOnly="0" labelOnly="1" outline="0" fieldPosition="0">
        <references count="7">
          <reference field="12" count="1" selected="0">
            <x v="3"/>
          </reference>
          <reference field="13" count="1" selected="0">
            <x v="16"/>
          </reference>
          <reference field="14" count="1" selected="0">
            <x v="9"/>
          </reference>
          <reference field="15" count="1" selected="0">
            <x v="5"/>
          </reference>
          <reference field="16" count="1" selected="0">
            <x v="6"/>
          </reference>
          <reference field="17" count="1">
            <x v="1"/>
          </reference>
          <reference field="31" count="1" selected="0">
            <x v="1"/>
          </reference>
        </references>
      </pivotArea>
    </format>
    <format dxfId="2228">
      <pivotArea dataOnly="0" labelOnly="1" outline="0" fieldPosition="0">
        <references count="8">
          <reference field="12" count="1" selected="0">
            <x v="3"/>
          </reference>
          <reference field="13" count="1" selected="0">
            <x v="16"/>
          </reference>
          <reference field="14" count="1" selected="0">
            <x v="9"/>
          </reference>
          <reference field="15" count="1" selected="0">
            <x v="5"/>
          </reference>
          <reference field="16" count="1" selected="0">
            <x v="6"/>
          </reference>
          <reference field="17" count="1" selected="0">
            <x v="1"/>
          </reference>
          <reference field="19" count="1">
            <x v="6"/>
          </reference>
          <reference field="31" count="1" selected="0">
            <x v="1"/>
          </reference>
        </references>
      </pivotArea>
    </format>
    <format dxfId="2227">
      <pivotArea dataOnly="0" labelOnly="1" outline="0" fieldPosition="0">
        <references count="9">
          <reference field="10" count="1">
            <x v="1"/>
          </reference>
          <reference field="12" count="1" selected="0">
            <x v="3"/>
          </reference>
          <reference field="13" count="1" selected="0">
            <x v="16"/>
          </reference>
          <reference field="14" count="1" selected="0">
            <x v="9"/>
          </reference>
          <reference field="15" count="1" selected="0">
            <x v="5"/>
          </reference>
          <reference field="16" count="1" selected="0">
            <x v="6"/>
          </reference>
          <reference field="17" count="1" selected="0">
            <x v="1"/>
          </reference>
          <reference field="19" count="1" selected="0">
            <x v="6"/>
          </reference>
          <reference field="31" count="1" selected="0">
            <x v="1"/>
          </reference>
        </references>
      </pivotArea>
    </format>
    <format dxfId="2226">
      <pivotArea dataOnly="0" labelOnly="1" outline="0" fieldPosition="0">
        <references count="2">
          <reference field="12" count="10">
            <x v="0"/>
            <x v="1"/>
            <x v="5"/>
            <x v="8"/>
            <x v="13"/>
            <x v="14"/>
            <x v="16"/>
            <x v="17"/>
            <x v="22"/>
            <x v="27"/>
          </reference>
          <reference field="31" count="1" selected="0">
            <x v="2"/>
          </reference>
        </references>
      </pivotArea>
    </format>
    <format dxfId="2225">
      <pivotArea dataOnly="0" labelOnly="1" outline="0" fieldPosition="0">
        <references count="3">
          <reference field="12" count="1" selected="0">
            <x v="14"/>
          </reference>
          <reference field="13" count="1">
            <x v="19"/>
          </reference>
          <reference field="31" count="1" selected="0">
            <x v="2"/>
          </reference>
        </references>
      </pivotArea>
    </format>
    <format dxfId="2224">
      <pivotArea dataOnly="0" labelOnly="1" outline="0" fieldPosition="0">
        <references count="4">
          <reference field="12" count="1" selected="0">
            <x v="14"/>
          </reference>
          <reference field="13" count="1" selected="0">
            <x v="19"/>
          </reference>
          <reference field="14" count="1">
            <x v="5"/>
          </reference>
          <reference field="31" count="1" selected="0">
            <x v="2"/>
          </reference>
        </references>
      </pivotArea>
    </format>
    <format dxfId="2223">
      <pivotArea dataOnly="0" labelOnly="1" outline="0" fieldPosition="0">
        <references count="5">
          <reference field="12" count="1" selected="0">
            <x v="14"/>
          </reference>
          <reference field="13" count="1" selected="0">
            <x v="19"/>
          </reference>
          <reference field="14" count="1" selected="0">
            <x v="5"/>
          </reference>
          <reference field="15" count="1">
            <x v="9"/>
          </reference>
          <reference field="31" count="1" selected="0">
            <x v="2"/>
          </reference>
        </references>
      </pivotArea>
    </format>
    <format dxfId="2222">
      <pivotArea dataOnly="0" labelOnly="1" outline="0" fieldPosition="0">
        <references count="7">
          <reference field="12" count="1" selected="0">
            <x v="14"/>
          </reference>
          <reference field="13" count="1" selected="0">
            <x v="19"/>
          </reference>
          <reference field="14" count="1" selected="0">
            <x v="5"/>
          </reference>
          <reference field="15" count="1" selected="0">
            <x v="9"/>
          </reference>
          <reference field="16" count="1" selected="0">
            <x v="1"/>
          </reference>
          <reference field="17" count="1">
            <x v="4"/>
          </reference>
          <reference field="31" count="1" selected="0">
            <x v="2"/>
          </reference>
        </references>
      </pivotArea>
    </format>
    <format dxfId="2221">
      <pivotArea dataOnly="0" labelOnly="1" outline="0" fieldPosition="0">
        <references count="9">
          <reference field="10" count="2">
            <x v="0"/>
            <x v="1"/>
          </reference>
          <reference field="12" count="1" selected="0">
            <x v="0"/>
          </reference>
          <reference field="13" count="1" selected="0">
            <x v="10"/>
          </reference>
          <reference field="14" count="1" selected="0">
            <x v="10"/>
          </reference>
          <reference field="15" count="1" selected="0">
            <x v="8"/>
          </reference>
          <reference field="16" count="1" selected="0">
            <x v="8"/>
          </reference>
          <reference field="17" count="1" selected="0">
            <x v="12"/>
          </reference>
          <reference field="19" count="1" selected="0">
            <x v="14"/>
          </reference>
          <reference field="31" count="1" selected="0">
            <x v="2"/>
          </reference>
        </references>
      </pivotArea>
    </format>
    <format dxfId="2220">
      <pivotArea dataOnly="0" labelOnly="1" outline="0" fieldPosition="0">
        <references count="9">
          <reference field="10" count="2">
            <x v="0"/>
            <x v="1"/>
          </reference>
          <reference field="12" count="1" selected="0">
            <x v="1"/>
          </reference>
          <reference field="13" count="1" selected="0">
            <x v="25"/>
          </reference>
          <reference field="14" count="1" selected="0">
            <x v="10"/>
          </reference>
          <reference field="15" count="1" selected="0">
            <x v="8"/>
          </reference>
          <reference field="16" count="1" selected="0">
            <x v="8"/>
          </reference>
          <reference field="17" count="1" selected="0">
            <x v="12"/>
          </reference>
          <reference field="19" count="1" selected="0">
            <x v="14"/>
          </reference>
          <reference field="31" count="1" selected="0">
            <x v="2"/>
          </reference>
        </references>
      </pivotArea>
    </format>
    <format dxfId="2219">
      <pivotArea dataOnly="0" labelOnly="1" outline="0" fieldPosition="0">
        <references count="9">
          <reference field="10" count="2">
            <x v="0"/>
            <x v="1"/>
          </reference>
          <reference field="12" count="1" selected="0">
            <x v="5"/>
          </reference>
          <reference field="13" count="1" selected="0">
            <x v="7"/>
          </reference>
          <reference field="14" count="1" selected="0">
            <x v="10"/>
          </reference>
          <reference field="15" count="1" selected="0">
            <x v="8"/>
          </reference>
          <reference field="16" count="1" selected="0">
            <x v="8"/>
          </reference>
          <reference field="17" count="1" selected="0">
            <x v="12"/>
          </reference>
          <reference field="19" count="1" selected="0">
            <x v="14"/>
          </reference>
          <reference field="31" count="1" selected="0">
            <x v="2"/>
          </reference>
        </references>
      </pivotArea>
    </format>
    <format dxfId="2218">
      <pivotArea dataOnly="0" labelOnly="1" outline="0" fieldPosition="0">
        <references count="9">
          <reference field="10" count="2">
            <x v="0"/>
            <x v="1"/>
          </reference>
          <reference field="12" count="1" selected="0">
            <x v="8"/>
          </reference>
          <reference field="13" count="1" selected="0">
            <x v="8"/>
          </reference>
          <reference field="14" count="1" selected="0">
            <x v="10"/>
          </reference>
          <reference field="15" count="1" selected="0">
            <x v="8"/>
          </reference>
          <reference field="16" count="1" selected="0">
            <x v="8"/>
          </reference>
          <reference field="17" count="1" selected="0">
            <x v="12"/>
          </reference>
          <reference field="19" count="1" selected="0">
            <x v="14"/>
          </reference>
          <reference field="31" count="1" selected="0">
            <x v="2"/>
          </reference>
        </references>
      </pivotArea>
    </format>
    <format dxfId="2217">
      <pivotArea dataOnly="0" labelOnly="1" outline="0" fieldPosition="0">
        <references count="9">
          <reference field="10" count="1">
            <x v="0"/>
          </reference>
          <reference field="12" count="1" selected="0">
            <x v="14"/>
          </reference>
          <reference field="13" count="1" selected="0">
            <x v="19"/>
          </reference>
          <reference field="14" count="1" selected="0">
            <x v="5"/>
          </reference>
          <reference field="15" count="1" selected="0">
            <x v="9"/>
          </reference>
          <reference field="16" count="1" selected="0">
            <x v="1"/>
          </reference>
          <reference field="17" count="1" selected="0">
            <x v="4"/>
          </reference>
          <reference field="19" count="1" selected="0">
            <x v="14"/>
          </reference>
          <reference field="31" count="1" selected="0">
            <x v="2"/>
          </reference>
        </references>
      </pivotArea>
    </format>
    <format dxfId="2216">
      <pivotArea dataOnly="0" labelOnly="1" outline="0" fieldPosition="0">
        <references count="2">
          <reference field="12" count="2">
            <x v="2"/>
            <x v="23"/>
          </reference>
          <reference field="31" count="1" selected="0">
            <x v="4"/>
          </reference>
        </references>
      </pivotArea>
    </format>
    <format dxfId="2215">
      <pivotArea dataOnly="0" labelOnly="1" outline="0" fieldPosition="0">
        <references count="3">
          <reference field="12" count="1" selected="0">
            <x v="23"/>
          </reference>
          <reference field="13" count="1">
            <x v="11"/>
          </reference>
          <reference field="31" count="1" selected="0">
            <x v="4"/>
          </reference>
        </references>
      </pivotArea>
    </format>
    <format dxfId="2214">
      <pivotArea dataOnly="0" labelOnly="1" outline="0" fieldPosition="0">
        <references count="4">
          <reference field="12" count="1" selected="0">
            <x v="23"/>
          </reference>
          <reference field="13" count="1" selected="0">
            <x v="11"/>
          </reference>
          <reference field="14" count="1">
            <x v="7"/>
          </reference>
          <reference field="31" count="1" selected="0">
            <x v="4"/>
          </reference>
        </references>
      </pivotArea>
    </format>
    <format dxfId="2213">
      <pivotArea dataOnly="0" labelOnly="1" outline="0" fieldPosition="0">
        <references count="9">
          <reference field="10" count="1">
            <x v="1"/>
          </reference>
          <reference field="12" count="1" selected="0">
            <x v="2"/>
          </reference>
          <reference field="13" count="1" selected="0">
            <x v="3"/>
          </reference>
          <reference field="14" count="1" selected="0">
            <x v="3"/>
          </reference>
          <reference field="15" count="1" selected="0">
            <x v="6"/>
          </reference>
          <reference field="16" count="1" selected="0">
            <x v="2"/>
          </reference>
          <reference field="17" count="1" selected="0">
            <x v="12"/>
          </reference>
          <reference field="19" count="1" selected="0">
            <x v="13"/>
          </reference>
          <reference field="31" count="1" selected="0">
            <x v="4"/>
          </reference>
        </references>
      </pivotArea>
    </format>
    <format dxfId="2212">
      <pivotArea dataOnly="0" labelOnly="1" outline="0" fieldPosition="0">
        <references count="2">
          <reference field="12" count="1">
            <x v="20"/>
          </reference>
          <reference field="31" count="1" selected="0">
            <x v="5"/>
          </reference>
        </references>
      </pivotArea>
    </format>
    <format dxfId="2211">
      <pivotArea dataOnly="0" labelOnly="1" outline="0" fieldPosition="0">
        <references count="3">
          <reference field="12" count="1" selected="0">
            <x v="20"/>
          </reference>
          <reference field="13" count="1">
            <x v="35"/>
          </reference>
          <reference field="31" count="1" selected="0">
            <x v="5"/>
          </reference>
        </references>
      </pivotArea>
    </format>
    <format dxfId="2210">
      <pivotArea dataOnly="0" labelOnly="1" outline="0" fieldPosition="0">
        <references count="4">
          <reference field="12" count="1" selected="0">
            <x v="20"/>
          </reference>
          <reference field="13" count="1" selected="0">
            <x v="35"/>
          </reference>
          <reference field="14" count="1">
            <x v="6"/>
          </reference>
          <reference field="31" count="1" selected="0">
            <x v="5"/>
          </reference>
        </references>
      </pivotArea>
    </format>
    <format dxfId="2209">
      <pivotArea dataOnly="0" labelOnly="1" outline="0" fieldPosition="0">
        <references count="5">
          <reference field="12" count="1" selected="0">
            <x v="20"/>
          </reference>
          <reference field="13" count="1" selected="0">
            <x v="35"/>
          </reference>
          <reference field="14" count="1" selected="0">
            <x v="6"/>
          </reference>
          <reference field="15" count="1">
            <x v="2"/>
          </reference>
          <reference field="31" count="1" selected="0">
            <x v="5"/>
          </reference>
        </references>
      </pivotArea>
    </format>
    <format dxfId="2208">
      <pivotArea dataOnly="0" labelOnly="1" outline="0" fieldPosition="0">
        <references count="6">
          <reference field="12" count="1" selected="0">
            <x v="20"/>
          </reference>
          <reference field="13" count="1" selected="0">
            <x v="35"/>
          </reference>
          <reference field="14" count="1" selected="0">
            <x v="6"/>
          </reference>
          <reference field="15" count="1" selected="0">
            <x v="2"/>
          </reference>
          <reference field="16" count="1">
            <x v="3"/>
          </reference>
          <reference field="31" count="1" selected="0">
            <x v="5"/>
          </reference>
        </references>
      </pivotArea>
    </format>
    <format dxfId="2207">
      <pivotArea dataOnly="0" labelOnly="1" outline="0" fieldPosition="0">
        <references count="7">
          <reference field="12" count="1" selected="0">
            <x v="20"/>
          </reference>
          <reference field="13" count="1" selected="0">
            <x v="35"/>
          </reference>
          <reference field="14" count="1" selected="0">
            <x v="6"/>
          </reference>
          <reference field="15" count="1" selected="0">
            <x v="2"/>
          </reference>
          <reference field="16" count="1" selected="0">
            <x v="3"/>
          </reference>
          <reference field="17" count="1">
            <x v="9"/>
          </reference>
          <reference field="31" count="1" selected="0">
            <x v="5"/>
          </reference>
        </references>
      </pivotArea>
    </format>
    <format dxfId="2206">
      <pivotArea dataOnly="0" labelOnly="1" outline="0" fieldPosition="0">
        <references count="8">
          <reference field="12" count="1" selected="0">
            <x v="20"/>
          </reference>
          <reference field="13" count="1" selected="0">
            <x v="35"/>
          </reference>
          <reference field="14" count="1" selected="0">
            <x v="6"/>
          </reference>
          <reference field="15" count="1" selected="0">
            <x v="2"/>
          </reference>
          <reference field="16" count="1" selected="0">
            <x v="3"/>
          </reference>
          <reference field="17" count="1" selected="0">
            <x v="9"/>
          </reference>
          <reference field="19" count="1">
            <x v="3"/>
          </reference>
          <reference field="31" count="1" selected="0">
            <x v="5"/>
          </reference>
        </references>
      </pivotArea>
    </format>
    <format dxfId="2205">
      <pivotArea dataOnly="0" labelOnly="1" outline="0" fieldPosition="0">
        <references count="9">
          <reference field="10" count="1">
            <x v="0"/>
          </reference>
          <reference field="12" count="1" selected="0">
            <x v="20"/>
          </reference>
          <reference field="13" count="1" selected="0">
            <x v="35"/>
          </reference>
          <reference field="14" count="1" selected="0">
            <x v="6"/>
          </reference>
          <reference field="15" count="1" selected="0">
            <x v="2"/>
          </reference>
          <reference field="16" count="1" selected="0">
            <x v="3"/>
          </reference>
          <reference field="17" count="1" selected="0">
            <x v="9"/>
          </reference>
          <reference field="19" count="1" selected="0">
            <x v="3"/>
          </reference>
          <reference field="31" count="1" selected="0">
            <x v="5"/>
          </reference>
        </references>
      </pivotArea>
    </format>
    <format dxfId="2204">
      <pivotArea dataOnly="0" labelOnly="1" outline="0" fieldPosition="0">
        <references count="3">
          <reference field="12" count="1" selected="0">
            <x v="5"/>
          </reference>
          <reference field="13" count="1">
            <x v="7"/>
          </reference>
          <reference field="31" count="1" selected="0">
            <x v="2"/>
          </reference>
        </references>
      </pivotArea>
    </format>
    <format dxfId="2203">
      <pivotArea dataOnly="0" labelOnly="1" outline="0" fieldPosition="0">
        <references count="3">
          <reference field="12" count="1" selected="0">
            <x v="8"/>
          </reference>
          <reference field="13" count="1">
            <x v="8"/>
          </reference>
          <reference field="31" count="1" selected="0">
            <x v="2"/>
          </reference>
        </references>
      </pivotArea>
    </format>
    <format dxfId="2202">
      <pivotArea dataOnly="0" labelOnly="1" outline="0" fieldPosition="0">
        <references count="3">
          <reference field="12" count="1" selected="0">
            <x v="27"/>
          </reference>
          <reference field="13" count="1">
            <x v="6"/>
          </reference>
          <reference field="31" count="1" selected="0">
            <x v="2"/>
          </reference>
        </references>
      </pivotArea>
    </format>
    <format dxfId="2201">
      <pivotArea dataOnly="0" labelOnly="1" outline="0" fieldPosition="0">
        <references count="3">
          <reference field="12" count="1" selected="0">
            <x v="41"/>
          </reference>
          <reference field="13" count="1">
            <x v="43"/>
          </reference>
          <reference field="31" count="1" selected="0">
            <x v="2"/>
          </reference>
        </references>
      </pivotArea>
    </format>
    <format dxfId="2200">
      <pivotArea dataOnly="0" labelOnly="1" outline="0" fieldPosition="0">
        <references count="4">
          <reference field="12" count="1" selected="0">
            <x v="27"/>
          </reference>
          <reference field="13" count="1" selected="0">
            <x v="6"/>
          </reference>
          <reference field="14" count="1">
            <x v="6"/>
          </reference>
          <reference field="31" count="1" selected="0">
            <x v="2"/>
          </reference>
        </references>
      </pivotArea>
    </format>
    <format dxfId="2199">
      <pivotArea dataOnly="0" labelOnly="1" outline="0" fieldPosition="0">
        <references count="5">
          <reference field="12" count="1" selected="0">
            <x v="27"/>
          </reference>
          <reference field="13" count="1" selected="0">
            <x v="6"/>
          </reference>
          <reference field="14" count="1" selected="0">
            <x v="6"/>
          </reference>
          <reference field="15" count="1">
            <x v="7"/>
          </reference>
          <reference field="31" count="1" selected="0">
            <x v="2"/>
          </reference>
        </references>
      </pivotArea>
    </format>
    <format dxfId="2198">
      <pivotArea dataOnly="0" labelOnly="1" outline="0" fieldPosition="0">
        <references count="6">
          <reference field="12" count="1" selected="0">
            <x v="27"/>
          </reference>
          <reference field="13" count="1" selected="0">
            <x v="6"/>
          </reference>
          <reference field="14" count="1" selected="0">
            <x v="6"/>
          </reference>
          <reference field="15" count="1" selected="0">
            <x v="7"/>
          </reference>
          <reference field="16" count="1">
            <x v="8"/>
          </reference>
          <reference field="31" count="1" selected="0">
            <x v="2"/>
          </reference>
        </references>
      </pivotArea>
    </format>
    <format dxfId="2197">
      <pivotArea dataOnly="0" labelOnly="1" outline="0" fieldPosition="0">
        <references count="7">
          <reference field="12" count="1" selected="0">
            <x v="27"/>
          </reference>
          <reference field="13" count="1" selected="0">
            <x v="6"/>
          </reference>
          <reference field="14" count="1" selected="0">
            <x v="6"/>
          </reference>
          <reference field="15" count="1" selected="0">
            <x v="7"/>
          </reference>
          <reference field="16" count="1" selected="0">
            <x v="8"/>
          </reference>
          <reference field="17" count="1">
            <x v="12"/>
          </reference>
          <reference field="31" count="1" selected="0">
            <x v="2"/>
          </reference>
        </references>
      </pivotArea>
    </format>
    <format dxfId="2196">
      <pivotArea dataOnly="0" labelOnly="1" outline="0" fieldPosition="0">
        <references count="8">
          <reference field="12" count="1" selected="0">
            <x v="27"/>
          </reference>
          <reference field="13" count="1" selected="0">
            <x v="6"/>
          </reference>
          <reference field="14" count="1" selected="0">
            <x v="6"/>
          </reference>
          <reference field="15" count="1" selected="0">
            <x v="7"/>
          </reference>
          <reference field="16" count="1" selected="0">
            <x v="8"/>
          </reference>
          <reference field="17" count="1" selected="0">
            <x v="12"/>
          </reference>
          <reference field="19" count="1">
            <x v="14"/>
          </reference>
          <reference field="31" count="1" selected="0">
            <x v="2"/>
          </reference>
        </references>
      </pivotArea>
    </format>
    <format dxfId="2195">
      <pivotArea dataOnly="0" labelOnly="1" outline="0" fieldPosition="0">
        <references count="9">
          <reference field="10" count="1">
            <x v="0"/>
          </reference>
          <reference field="12" count="1" selected="0">
            <x v="5"/>
          </reference>
          <reference field="13" count="1" selected="0">
            <x v="7"/>
          </reference>
          <reference field="14" count="1" selected="0">
            <x v="10"/>
          </reference>
          <reference field="15" count="1" selected="0">
            <x v="8"/>
          </reference>
          <reference field="16" count="1" selected="0">
            <x v="8"/>
          </reference>
          <reference field="17" count="1" selected="0">
            <x v="12"/>
          </reference>
          <reference field="19" count="1" selected="0">
            <x v="14"/>
          </reference>
          <reference field="31" count="1" selected="0">
            <x v="2"/>
          </reference>
        </references>
      </pivotArea>
    </format>
    <format dxfId="2194">
      <pivotArea dataOnly="0" labelOnly="1" outline="0" fieldPosition="0">
        <references count="9">
          <reference field="10" count="1">
            <x v="0"/>
          </reference>
          <reference field="12" count="1" selected="0">
            <x v="8"/>
          </reference>
          <reference field="13" count="1" selected="0">
            <x v="8"/>
          </reference>
          <reference field="14" count="1" selected="0">
            <x v="10"/>
          </reference>
          <reference field="15" count="1" selected="0">
            <x v="8"/>
          </reference>
          <reference field="16" count="1" selected="0">
            <x v="8"/>
          </reference>
          <reference field="17" count="1" selected="0">
            <x v="12"/>
          </reference>
          <reference field="19" count="1" selected="0">
            <x v="14"/>
          </reference>
          <reference field="31" count="1" selected="0">
            <x v="2"/>
          </reference>
        </references>
      </pivotArea>
    </format>
    <format dxfId="2193">
      <pivotArea dataOnly="0" labelOnly="1" outline="0" fieldPosition="0">
        <references count="9">
          <reference field="10" count="1">
            <x v="0"/>
          </reference>
          <reference field="12" count="1" selected="0">
            <x v="27"/>
          </reference>
          <reference field="13" count="1" selected="0">
            <x v="6"/>
          </reference>
          <reference field="14" count="1" selected="0">
            <x v="6"/>
          </reference>
          <reference field="15" count="1" selected="0">
            <x v="7"/>
          </reference>
          <reference field="16" count="1" selected="0">
            <x v="8"/>
          </reference>
          <reference field="17" count="1" selected="0">
            <x v="12"/>
          </reference>
          <reference field="19" count="1" selected="0">
            <x v="14"/>
          </reference>
          <reference field="31" count="1" selected="0">
            <x v="2"/>
          </reference>
        </references>
      </pivotArea>
    </format>
    <format dxfId="2192">
      <pivotArea dataOnly="0" labelOnly="1" outline="0" fieldPosition="0">
        <references count="9">
          <reference field="10" count="1">
            <x v="0"/>
          </reference>
          <reference field="12" count="1" selected="0">
            <x v="41"/>
          </reference>
          <reference field="13" count="1" selected="0">
            <x v="43"/>
          </reference>
          <reference field="14" count="1" selected="0">
            <x v="10"/>
          </reference>
          <reference field="15" count="1" selected="0">
            <x v="8"/>
          </reference>
          <reference field="16" count="1" selected="0">
            <x v="8"/>
          </reference>
          <reference field="17" count="1" selected="0">
            <x v="12"/>
          </reference>
          <reference field="19" count="1" selected="0">
            <x v="14"/>
          </reference>
          <reference field="31" count="1" selected="0">
            <x v="2"/>
          </reference>
        </references>
      </pivotArea>
    </format>
    <format dxfId="2191">
      <pivotArea dataOnly="0" labelOnly="1" outline="0" fieldPosition="0">
        <references count="6">
          <reference field="12" count="1" selected="0">
            <x v="27"/>
          </reference>
          <reference field="13" count="1" selected="0">
            <x v="6"/>
          </reference>
          <reference field="14" count="1" selected="0">
            <x v="6"/>
          </reference>
          <reference field="15" count="1" selected="0">
            <x v="7"/>
          </reference>
          <reference field="16" count="1">
            <x v="8"/>
          </reference>
          <reference field="31" count="1" selected="0">
            <x v="2"/>
          </reference>
        </references>
      </pivotArea>
    </format>
    <format dxfId="2190">
      <pivotArea type="all" dataOnly="0" outline="0" fieldPosition="0"/>
    </format>
    <format dxfId="2189">
      <pivotArea dataOnly="0" labelOnly="1" outline="0" fieldPosition="0">
        <references count="1">
          <reference field="12" count="0"/>
        </references>
      </pivotArea>
    </format>
    <format dxfId="2188">
      <pivotArea dataOnly="0" labelOnly="1" outline="0" fieldPosition="0">
        <references count="1">
          <reference field="13" count="0"/>
        </references>
      </pivotArea>
    </format>
    <format dxfId="2187">
      <pivotArea dataOnly="0" labelOnly="1" outline="0" fieldPosition="0">
        <references count="1">
          <reference field="14" count="0"/>
        </references>
      </pivotArea>
    </format>
    <format dxfId="2186">
      <pivotArea dataOnly="0" labelOnly="1" outline="0" fieldPosition="0">
        <references count="1">
          <reference field="15" count="0"/>
        </references>
      </pivotArea>
    </format>
    <format dxfId="2185">
      <pivotArea dataOnly="0" labelOnly="1" outline="0" fieldPosition="0">
        <references count="1">
          <reference field="16" count="0"/>
        </references>
      </pivotArea>
    </format>
    <format dxfId="2184">
      <pivotArea type="all" dataOnly="0" outline="0" fieldPosition="0"/>
    </format>
    <format dxfId="2183">
      <pivotArea outline="0" collapsedLevelsAreSubtotals="1" fieldPosition="0"/>
    </format>
    <format dxfId="2182">
      <pivotArea dataOnly="0" labelOnly="1" grandRow="1" outline="0" fieldPosition="0"/>
    </format>
    <format dxfId="2181">
      <pivotArea dataOnly="0" labelOnly="1" outline="0" fieldPosition="0">
        <references count="1">
          <reference field="16" count="0"/>
        </references>
      </pivotArea>
    </format>
    <format dxfId="2180">
      <pivotArea dataOnly="0" labelOnly="1" outline="0" fieldPosition="0">
        <references count="1">
          <reference field="17" count="0"/>
        </references>
      </pivotArea>
    </format>
    <format dxfId="2179">
      <pivotArea dataOnly="0" labelOnly="1" outline="0" fieldPosition="0">
        <references count="1">
          <reference field="19" count="0"/>
        </references>
      </pivotArea>
    </format>
    <format dxfId="2178">
      <pivotArea dataOnly="0" labelOnly="1" outline="0" fieldPosition="0">
        <references count="1">
          <reference field="10" count="0"/>
        </references>
      </pivotArea>
    </format>
    <format dxfId="2177">
      <pivotArea dataOnly="0" outline="0" axis="axisValues" fieldPosition="0"/>
    </format>
    <format dxfId="2176">
      <pivotArea outline="0" fieldPosition="0">
        <references count="1">
          <reference field="31" count="0" selected="0" defaultSubtotal="1"/>
        </references>
      </pivotArea>
    </format>
    <format dxfId="2175">
      <pivotArea field="31" type="button" dataOnly="0" labelOnly="1" outline="0" axis="axisRow" fieldPosition="0"/>
    </format>
    <format dxfId="2174">
      <pivotArea field="12" type="button" dataOnly="0" labelOnly="1" outline="0" axis="axisRow" fieldPosition="1"/>
    </format>
    <format dxfId="2173">
      <pivotArea field="13" type="button" dataOnly="0" labelOnly="1" outline="0" axis="axisRow" fieldPosition="2"/>
    </format>
    <format dxfId="2172">
      <pivotArea field="14" type="button" dataOnly="0" labelOnly="1" outline="0" axis="axisRow" fieldPosition="3"/>
    </format>
    <format dxfId="2171">
      <pivotArea field="15" type="button" dataOnly="0" labelOnly="1" outline="0" axis="axisRow" fieldPosition="4"/>
    </format>
    <format dxfId="2170">
      <pivotArea field="16" type="button" dataOnly="0" labelOnly="1" outline="0" axis="axisRow" fieldPosition="5"/>
    </format>
    <format dxfId="2169">
      <pivotArea field="17" type="button" dataOnly="0" labelOnly="1" outline="0" axis="axisRow" fieldPosition="6"/>
    </format>
    <format dxfId="2168">
      <pivotArea field="19" type="button" dataOnly="0" labelOnly="1" outline="0" axis="axisRow" fieldPosition="7"/>
    </format>
    <format dxfId="2167">
      <pivotArea field="10" type="button" dataOnly="0" labelOnly="1" outline="0" axis="axisRow" fieldPosition="8"/>
    </format>
    <format dxfId="2166">
      <pivotArea dataOnly="0" labelOnly="1" outline="0" fieldPosition="0">
        <references count="1">
          <reference field="31" count="0"/>
        </references>
      </pivotArea>
    </format>
    <format dxfId="2165">
      <pivotArea dataOnly="0" labelOnly="1" outline="0" fieldPosition="0">
        <references count="1">
          <reference field="31" count="0" defaultSubtotal="1"/>
        </references>
      </pivotArea>
    </format>
    <format dxfId="2164">
      <pivotArea dataOnly="0" labelOnly="1" outline="0" fieldPosition="0">
        <references count="2">
          <reference field="12" count="3">
            <x v="33"/>
            <x v="34"/>
            <x v="39"/>
          </reference>
          <reference field="31" count="1" selected="0">
            <x v="0"/>
          </reference>
        </references>
      </pivotArea>
    </format>
    <format dxfId="2163">
      <pivotArea dataOnly="0" labelOnly="1" outline="0" fieldPosition="0">
        <references count="2">
          <reference field="12" count="6">
            <x v="9"/>
            <x v="10"/>
            <x v="11"/>
            <x v="12"/>
            <x v="18"/>
            <x v="19"/>
          </reference>
          <reference field="31" count="1" selected="0">
            <x v="1"/>
          </reference>
        </references>
      </pivotArea>
    </format>
    <format dxfId="2162">
      <pivotArea dataOnly="0" labelOnly="1" outline="0" fieldPosition="0">
        <references count="2">
          <reference field="12" count="16">
            <x v="0"/>
            <x v="1"/>
            <x v="5"/>
            <x v="8"/>
            <x v="13"/>
            <x v="15"/>
            <x v="16"/>
            <x v="17"/>
            <x v="22"/>
            <x v="25"/>
            <x v="26"/>
            <x v="27"/>
            <x v="28"/>
            <x v="36"/>
            <x v="40"/>
            <x v="41"/>
          </reference>
          <reference field="31" count="1" selected="0">
            <x v="2"/>
          </reference>
        </references>
      </pivotArea>
    </format>
    <format dxfId="2161">
      <pivotArea dataOnly="0" labelOnly="1" outline="0" fieldPosition="0">
        <references count="2">
          <reference field="12" count="4">
            <x v="6"/>
            <x v="7"/>
            <x v="29"/>
            <x v="30"/>
          </reference>
          <reference field="31" count="1" selected="0">
            <x v="3"/>
          </reference>
        </references>
      </pivotArea>
    </format>
    <format dxfId="2160">
      <pivotArea dataOnly="0" labelOnly="1" outline="0" fieldPosition="0">
        <references count="2">
          <reference field="12" count="4">
            <x v="2"/>
            <x v="21"/>
            <x v="38"/>
            <x v="42"/>
          </reference>
          <reference field="31" count="1" selected="0">
            <x v="4"/>
          </reference>
        </references>
      </pivotArea>
    </format>
    <format dxfId="2159">
      <pivotArea dataOnly="0" labelOnly="1" outline="0" fieldPosition="0">
        <references count="2">
          <reference field="12" count="2">
            <x v="31"/>
            <x v="32"/>
          </reference>
          <reference field="31" count="1" selected="0">
            <x v="5"/>
          </reference>
        </references>
      </pivotArea>
    </format>
    <format dxfId="2158">
      <pivotArea dataOnly="0" labelOnly="1" outline="0" fieldPosition="0">
        <references count="2">
          <reference field="12" count="1">
            <x v="3"/>
          </reference>
          <reference field="31" count="1" selected="0">
            <x v="6"/>
          </reference>
        </references>
      </pivotArea>
    </format>
    <format dxfId="2157">
      <pivotArea dataOnly="0" labelOnly="1" outline="0" fieldPosition="0">
        <references count="2">
          <reference field="12" count="2">
            <x v="20"/>
            <x v="37"/>
          </reference>
          <reference field="31" count="1" selected="0">
            <x v="7"/>
          </reference>
        </references>
      </pivotArea>
    </format>
    <format dxfId="2156">
      <pivotArea dataOnly="0" labelOnly="1" outline="0" fieldPosition="0">
        <references count="2">
          <reference field="12" count="1">
            <x v="24"/>
          </reference>
          <reference field="31" count="1" selected="0">
            <x v="8"/>
          </reference>
        </references>
      </pivotArea>
    </format>
    <format dxfId="2155">
      <pivotArea dataOnly="0" labelOnly="1" outline="0" fieldPosition="0">
        <references count="3">
          <reference field="12" count="1" selected="0">
            <x v="33"/>
          </reference>
          <reference field="13" count="1">
            <x v="2"/>
          </reference>
          <reference field="31" count="1" selected="0">
            <x v="0"/>
          </reference>
        </references>
      </pivotArea>
    </format>
    <format dxfId="2154">
      <pivotArea dataOnly="0" labelOnly="1" outline="0" fieldPosition="0">
        <references count="3">
          <reference field="12" count="1" selected="0">
            <x v="34"/>
          </reference>
          <reference field="13" count="1">
            <x v="18"/>
          </reference>
          <reference field="31" count="1" selected="0">
            <x v="0"/>
          </reference>
        </references>
      </pivotArea>
    </format>
    <format dxfId="2153">
      <pivotArea dataOnly="0" labelOnly="1" outline="0" fieldPosition="0">
        <references count="3">
          <reference field="12" count="1" selected="0">
            <x v="39"/>
          </reference>
          <reference field="13" count="1">
            <x v="40"/>
          </reference>
          <reference field="31" count="1" selected="0">
            <x v="0"/>
          </reference>
        </references>
      </pivotArea>
    </format>
    <format dxfId="2152">
      <pivotArea dataOnly="0" labelOnly="1" outline="0" fieldPosition="0">
        <references count="3">
          <reference field="12" count="1" selected="0">
            <x v="9"/>
          </reference>
          <reference field="13" count="1">
            <x v="26"/>
          </reference>
          <reference field="31" count="1" selected="0">
            <x v="1"/>
          </reference>
        </references>
      </pivotArea>
    </format>
    <format dxfId="2151">
      <pivotArea dataOnly="0" labelOnly="1" outline="0" fieldPosition="0">
        <references count="3">
          <reference field="12" count="1" selected="0">
            <x v="10"/>
          </reference>
          <reference field="13" count="1">
            <x v="27"/>
          </reference>
          <reference field="31" count="1" selected="0">
            <x v="1"/>
          </reference>
        </references>
      </pivotArea>
    </format>
    <format dxfId="2150">
      <pivotArea dataOnly="0" labelOnly="1" outline="0" fieldPosition="0">
        <references count="3">
          <reference field="12" count="1" selected="0">
            <x v="11"/>
          </reference>
          <reference field="13" count="1">
            <x v="21"/>
          </reference>
          <reference field="31" count="1" selected="0">
            <x v="1"/>
          </reference>
        </references>
      </pivotArea>
    </format>
    <format dxfId="2149">
      <pivotArea dataOnly="0" labelOnly="1" outline="0" fieldPosition="0">
        <references count="3">
          <reference field="12" count="1" selected="0">
            <x v="12"/>
          </reference>
          <reference field="13" count="1">
            <x v="28"/>
          </reference>
          <reference field="31" count="1" selected="0">
            <x v="1"/>
          </reference>
        </references>
      </pivotArea>
    </format>
    <format dxfId="2148">
      <pivotArea dataOnly="0" labelOnly="1" outline="0" fieldPosition="0">
        <references count="3">
          <reference field="12" count="1" selected="0">
            <x v="18"/>
          </reference>
          <reference field="13" count="1">
            <x v="24"/>
          </reference>
          <reference field="31" count="1" selected="0">
            <x v="1"/>
          </reference>
        </references>
      </pivotArea>
    </format>
    <format dxfId="2147">
      <pivotArea dataOnly="0" labelOnly="1" outline="0" fieldPosition="0">
        <references count="3">
          <reference field="12" count="1" selected="0">
            <x v="19"/>
          </reference>
          <reference field="13" count="1">
            <x v="22"/>
          </reference>
          <reference field="31" count="1" selected="0">
            <x v="1"/>
          </reference>
        </references>
      </pivotArea>
    </format>
    <format dxfId="2146">
      <pivotArea dataOnly="0" labelOnly="1" outline="0" fieldPosition="0">
        <references count="3">
          <reference field="12" count="1" selected="0">
            <x v="0"/>
          </reference>
          <reference field="13" count="1">
            <x v="10"/>
          </reference>
          <reference field="31" count="1" selected="0">
            <x v="2"/>
          </reference>
        </references>
      </pivotArea>
    </format>
    <format dxfId="2145">
      <pivotArea dataOnly="0" labelOnly="1" outline="0" fieldPosition="0">
        <references count="3">
          <reference field="12" count="1" selected="0">
            <x v="1"/>
          </reference>
          <reference field="13" count="1">
            <x v="25"/>
          </reference>
          <reference field="31" count="1" selected="0">
            <x v="2"/>
          </reference>
        </references>
      </pivotArea>
    </format>
    <format dxfId="2144">
      <pivotArea dataOnly="0" labelOnly="1" outline="0" fieldPosition="0">
        <references count="3">
          <reference field="12" count="1" selected="0">
            <x v="5"/>
          </reference>
          <reference field="13" count="1">
            <x v="46"/>
          </reference>
          <reference field="31" count="1" selected="0">
            <x v="2"/>
          </reference>
        </references>
      </pivotArea>
    </format>
    <format dxfId="2143">
      <pivotArea dataOnly="0" labelOnly="1" outline="0" fieldPosition="0">
        <references count="3">
          <reference field="12" count="1" selected="0">
            <x v="8"/>
          </reference>
          <reference field="13" count="1">
            <x v="47"/>
          </reference>
          <reference field="31" count="1" selected="0">
            <x v="2"/>
          </reference>
        </references>
      </pivotArea>
    </format>
    <format dxfId="2142">
      <pivotArea dataOnly="0" labelOnly="1" outline="0" fieldPosition="0">
        <references count="3">
          <reference field="12" count="1" selected="0">
            <x v="13"/>
          </reference>
          <reference field="13" count="1">
            <x v="4"/>
          </reference>
          <reference field="31" count="1" selected="0">
            <x v="2"/>
          </reference>
        </references>
      </pivotArea>
    </format>
    <format dxfId="2141">
      <pivotArea dataOnly="0" labelOnly="1" outline="0" fieldPosition="0">
        <references count="3">
          <reference field="12" count="1" selected="0">
            <x v="15"/>
          </reference>
          <reference field="13" count="1">
            <x v="34"/>
          </reference>
          <reference field="31" count="1" selected="0">
            <x v="2"/>
          </reference>
        </references>
      </pivotArea>
    </format>
    <format dxfId="2140">
      <pivotArea dataOnly="0" labelOnly="1" outline="0" fieldPosition="0">
        <references count="3">
          <reference field="12" count="1" selected="0">
            <x v="16"/>
          </reference>
          <reference field="13" count="1">
            <x v="5"/>
          </reference>
          <reference field="31" count="1" selected="0">
            <x v="2"/>
          </reference>
        </references>
      </pivotArea>
    </format>
    <format dxfId="2139">
      <pivotArea dataOnly="0" labelOnly="1" outline="0" fieldPosition="0">
        <references count="3">
          <reference field="12" count="1" selected="0">
            <x v="17"/>
          </reference>
          <reference field="13" count="1">
            <x v="20"/>
          </reference>
          <reference field="31" count="1" selected="0">
            <x v="2"/>
          </reference>
        </references>
      </pivotArea>
    </format>
    <format dxfId="2138">
      <pivotArea dataOnly="0" labelOnly="1" outline="0" fieldPosition="0">
        <references count="3">
          <reference field="12" count="1" selected="0">
            <x v="22"/>
          </reference>
          <reference field="13" count="1">
            <x v="1"/>
          </reference>
          <reference field="31" count="1" selected="0">
            <x v="2"/>
          </reference>
        </references>
      </pivotArea>
    </format>
    <format dxfId="2137">
      <pivotArea dataOnly="0" labelOnly="1" outline="0" fieldPosition="0">
        <references count="3">
          <reference field="12" count="1" selected="0">
            <x v="25"/>
          </reference>
          <reference field="13" count="1">
            <x v="12"/>
          </reference>
          <reference field="31" count="1" selected="0">
            <x v="2"/>
          </reference>
        </references>
      </pivotArea>
    </format>
    <format dxfId="2136">
      <pivotArea dataOnly="0" labelOnly="1" outline="0" fieldPosition="0">
        <references count="3">
          <reference field="12" count="1" selected="0">
            <x v="26"/>
          </reference>
          <reference field="13" count="1">
            <x v="13"/>
          </reference>
          <reference field="31" count="1" selected="0">
            <x v="2"/>
          </reference>
        </references>
      </pivotArea>
    </format>
    <format dxfId="2135">
      <pivotArea dataOnly="0" labelOnly="1" outline="0" fieldPosition="0">
        <references count="3">
          <reference field="12" count="1" selected="0">
            <x v="27"/>
          </reference>
          <reference field="13" count="1">
            <x v="48"/>
          </reference>
          <reference field="31" count="1" selected="0">
            <x v="2"/>
          </reference>
        </references>
      </pivotArea>
    </format>
    <format dxfId="2134">
      <pivotArea dataOnly="0" labelOnly="1" outline="0" fieldPosition="0">
        <references count="3">
          <reference field="12" count="1" selected="0">
            <x v="28"/>
          </reference>
          <reference field="13" count="1">
            <x v="32"/>
          </reference>
          <reference field="31" count="1" selected="0">
            <x v="2"/>
          </reference>
        </references>
      </pivotArea>
    </format>
    <format dxfId="2133">
      <pivotArea dataOnly="0" labelOnly="1" outline="0" fieldPosition="0">
        <references count="3">
          <reference field="12" count="1" selected="0">
            <x v="36"/>
          </reference>
          <reference field="13" count="1">
            <x v="37"/>
          </reference>
          <reference field="31" count="1" selected="0">
            <x v="2"/>
          </reference>
        </references>
      </pivotArea>
    </format>
    <format dxfId="2132">
      <pivotArea dataOnly="0" labelOnly="1" outline="0" fieldPosition="0">
        <references count="3">
          <reference field="12" count="1" selected="0">
            <x v="40"/>
          </reference>
          <reference field="13" count="1">
            <x v="42"/>
          </reference>
          <reference field="31" count="1" selected="0">
            <x v="2"/>
          </reference>
        </references>
      </pivotArea>
    </format>
    <format dxfId="2131">
      <pivotArea dataOnly="0" labelOnly="1" outline="0" fieldPosition="0">
        <references count="3">
          <reference field="12" count="1" selected="0">
            <x v="41"/>
          </reference>
          <reference field="13" count="1">
            <x v="45"/>
          </reference>
          <reference field="31" count="1" selected="0">
            <x v="2"/>
          </reference>
        </references>
      </pivotArea>
    </format>
    <format dxfId="2130">
      <pivotArea dataOnly="0" labelOnly="1" outline="0" fieldPosition="0">
        <references count="3">
          <reference field="12" count="1" selected="0">
            <x v="6"/>
          </reference>
          <reference field="13" count="1">
            <x v="33"/>
          </reference>
          <reference field="31" count="1" selected="0">
            <x v="3"/>
          </reference>
        </references>
      </pivotArea>
    </format>
    <format dxfId="2129">
      <pivotArea dataOnly="0" labelOnly="1" outline="0" fieldPosition="0">
        <references count="3">
          <reference field="12" count="1" selected="0">
            <x v="7"/>
          </reference>
          <reference field="13" count="1">
            <x v="15"/>
          </reference>
          <reference field="31" count="1" selected="0">
            <x v="3"/>
          </reference>
        </references>
      </pivotArea>
    </format>
    <format dxfId="2128">
      <pivotArea dataOnly="0" labelOnly="1" outline="0" fieldPosition="0">
        <references count="3">
          <reference field="12" count="1" selected="0">
            <x v="29"/>
          </reference>
          <reference field="13" count="1">
            <x v="30"/>
          </reference>
          <reference field="31" count="1" selected="0">
            <x v="3"/>
          </reference>
        </references>
      </pivotArea>
    </format>
    <format dxfId="2127">
      <pivotArea dataOnly="0" labelOnly="1" outline="0" fieldPosition="0">
        <references count="3">
          <reference field="12" count="1" selected="0">
            <x v="30"/>
          </reference>
          <reference field="13" count="1">
            <x v="29"/>
          </reference>
          <reference field="31" count="1" selected="0">
            <x v="3"/>
          </reference>
        </references>
      </pivotArea>
    </format>
    <format dxfId="2126">
      <pivotArea dataOnly="0" labelOnly="1" outline="0" fieldPosition="0">
        <references count="3">
          <reference field="12" count="1" selected="0">
            <x v="2"/>
          </reference>
          <reference field="13" count="1">
            <x v="3"/>
          </reference>
          <reference field="31" count="1" selected="0">
            <x v="4"/>
          </reference>
        </references>
      </pivotArea>
    </format>
    <format dxfId="2125">
      <pivotArea dataOnly="0" labelOnly="1" outline="0" fieldPosition="0">
        <references count="3">
          <reference field="12" count="1" selected="0">
            <x v="21"/>
          </reference>
          <reference field="13" count="1">
            <x v="17"/>
          </reference>
          <reference field="31" count="1" selected="0">
            <x v="4"/>
          </reference>
        </references>
      </pivotArea>
    </format>
    <format dxfId="2124">
      <pivotArea dataOnly="0" labelOnly="1" outline="0" fieldPosition="0">
        <references count="3">
          <reference field="12" count="1" selected="0">
            <x v="38"/>
          </reference>
          <reference field="13" count="1">
            <x v="39"/>
          </reference>
          <reference field="31" count="1" selected="0">
            <x v="4"/>
          </reference>
        </references>
      </pivotArea>
    </format>
    <format dxfId="2123">
      <pivotArea dataOnly="0" labelOnly="1" outline="0" fieldPosition="0">
        <references count="3">
          <reference field="12" count="1" selected="0">
            <x v="42"/>
          </reference>
          <reference field="13" count="1">
            <x v="44"/>
          </reference>
          <reference field="31" count="1" selected="0">
            <x v="4"/>
          </reference>
        </references>
      </pivotArea>
    </format>
    <format dxfId="2122">
      <pivotArea dataOnly="0" labelOnly="1" outline="0" fieldPosition="0">
        <references count="3">
          <reference field="12" count="1" selected="0">
            <x v="31"/>
          </reference>
          <reference field="13" count="1">
            <x v="14"/>
          </reference>
          <reference field="31" count="1" selected="0">
            <x v="5"/>
          </reference>
        </references>
      </pivotArea>
    </format>
    <format dxfId="2121">
      <pivotArea dataOnly="0" labelOnly="1" outline="0" fieldPosition="0">
        <references count="3">
          <reference field="12" count="1" selected="0">
            <x v="32"/>
          </reference>
          <reference field="13" count="1">
            <x v="23"/>
          </reference>
          <reference field="31" count="1" selected="0">
            <x v="5"/>
          </reference>
        </references>
      </pivotArea>
    </format>
    <format dxfId="2120">
      <pivotArea dataOnly="0" labelOnly="1" outline="0" fieldPosition="0">
        <references count="3">
          <reference field="12" count="1" selected="0">
            <x v="3"/>
          </reference>
          <reference field="13" count="1">
            <x v="16"/>
          </reference>
          <reference field="31" count="1" selected="0">
            <x v="6"/>
          </reference>
        </references>
      </pivotArea>
    </format>
    <format dxfId="2119">
      <pivotArea dataOnly="0" labelOnly="1" outline="0" fieldPosition="0">
        <references count="3">
          <reference field="12" count="1" selected="0">
            <x v="20"/>
          </reference>
          <reference field="13" count="1">
            <x v="35"/>
          </reference>
          <reference field="31" count="1" selected="0">
            <x v="7"/>
          </reference>
        </references>
      </pivotArea>
    </format>
    <format dxfId="2118">
      <pivotArea dataOnly="0" labelOnly="1" outline="0" fieldPosition="0">
        <references count="3">
          <reference field="12" count="1" selected="0">
            <x v="37"/>
          </reference>
          <reference field="13" count="1">
            <x v="38"/>
          </reference>
          <reference field="31" count="1" selected="0">
            <x v="7"/>
          </reference>
        </references>
      </pivotArea>
    </format>
    <format dxfId="2117">
      <pivotArea dataOnly="0" labelOnly="1" outline="0" fieldPosition="0">
        <references count="3">
          <reference field="12" count="1" selected="0">
            <x v="24"/>
          </reference>
          <reference field="13" count="1">
            <x v="9"/>
          </reference>
          <reference field="31" count="1" selected="0">
            <x v="8"/>
          </reference>
        </references>
      </pivotArea>
    </format>
    <format dxfId="2116">
      <pivotArea dataOnly="0" labelOnly="1" outline="0" fieldPosition="0">
        <references count="4">
          <reference field="12" count="1" selected="0">
            <x v="33"/>
          </reference>
          <reference field="13" count="1" selected="0">
            <x v="2"/>
          </reference>
          <reference field="14" count="1">
            <x v="0"/>
          </reference>
          <reference field="31" count="1" selected="0">
            <x v="0"/>
          </reference>
        </references>
      </pivotArea>
    </format>
    <format dxfId="2115">
      <pivotArea dataOnly="0" labelOnly="1" outline="0" fieldPosition="0">
        <references count="4">
          <reference field="12" count="1" selected="0">
            <x v="9"/>
          </reference>
          <reference field="13" count="1" selected="0">
            <x v="26"/>
          </reference>
          <reference field="14" count="1">
            <x v="2"/>
          </reference>
          <reference field="31" count="1" selected="0">
            <x v="1"/>
          </reference>
        </references>
      </pivotArea>
    </format>
    <format dxfId="2114">
      <pivotArea dataOnly="0" labelOnly="1" outline="0" fieldPosition="0">
        <references count="4">
          <reference field="12" count="1" selected="0">
            <x v="11"/>
          </reference>
          <reference field="13" count="1" selected="0">
            <x v="21"/>
          </reference>
          <reference field="14" count="1">
            <x v="4"/>
          </reference>
          <reference field="31" count="1" selected="0">
            <x v="1"/>
          </reference>
        </references>
      </pivotArea>
    </format>
    <format dxfId="2113">
      <pivotArea dataOnly="0" labelOnly="1" outline="0" fieldPosition="0">
        <references count="4">
          <reference field="12" count="1" selected="0">
            <x v="12"/>
          </reference>
          <reference field="13" count="1" selected="0">
            <x v="28"/>
          </reference>
          <reference field="14" count="1">
            <x v="1"/>
          </reference>
          <reference field="31" count="1" selected="0">
            <x v="1"/>
          </reference>
        </references>
      </pivotArea>
    </format>
    <format dxfId="2112">
      <pivotArea dataOnly="0" labelOnly="1" outline="0" fieldPosition="0">
        <references count="4">
          <reference field="12" count="1" selected="0">
            <x v="18"/>
          </reference>
          <reference field="13" count="1" selected="0">
            <x v="24"/>
          </reference>
          <reference field="14" count="1">
            <x v="4"/>
          </reference>
          <reference field="31" count="1" selected="0">
            <x v="1"/>
          </reference>
        </references>
      </pivotArea>
    </format>
    <format dxfId="2111">
      <pivotArea dataOnly="0" labelOnly="1" outline="0" fieldPosition="0">
        <references count="4">
          <reference field="12" count="1" selected="0">
            <x v="0"/>
          </reference>
          <reference field="13" count="1" selected="0">
            <x v="10"/>
          </reference>
          <reference field="14" count="1">
            <x v="10"/>
          </reference>
          <reference field="31" count="1" selected="0">
            <x v="2"/>
          </reference>
        </references>
      </pivotArea>
    </format>
    <format dxfId="2110">
      <pivotArea dataOnly="0" labelOnly="1" outline="0" fieldPosition="0">
        <references count="4">
          <reference field="12" count="1" selected="0">
            <x v="13"/>
          </reference>
          <reference field="13" count="1" selected="0">
            <x v="4"/>
          </reference>
          <reference field="14" count="1">
            <x v="7"/>
          </reference>
          <reference field="31" count="1" selected="0">
            <x v="2"/>
          </reference>
        </references>
      </pivotArea>
    </format>
    <format dxfId="2109">
      <pivotArea dataOnly="0" labelOnly="1" outline="0" fieldPosition="0">
        <references count="4">
          <reference field="12" count="1" selected="0">
            <x v="15"/>
          </reference>
          <reference field="13" count="1" selected="0">
            <x v="34"/>
          </reference>
          <reference field="14" count="1">
            <x v="8"/>
          </reference>
          <reference field="31" count="1" selected="0">
            <x v="2"/>
          </reference>
        </references>
      </pivotArea>
    </format>
    <format dxfId="2108">
      <pivotArea dataOnly="0" labelOnly="1" outline="0" fieldPosition="0">
        <references count="4">
          <reference field="12" count="1" selected="0">
            <x v="16"/>
          </reference>
          <reference field="13" count="1" selected="0">
            <x v="5"/>
          </reference>
          <reference field="14" count="1">
            <x v="7"/>
          </reference>
          <reference field="31" count="1" selected="0">
            <x v="2"/>
          </reference>
        </references>
      </pivotArea>
    </format>
    <format dxfId="2107">
      <pivotArea dataOnly="0" labelOnly="1" outline="0" fieldPosition="0">
        <references count="4">
          <reference field="12" count="1" selected="0">
            <x v="17"/>
          </reference>
          <reference field="13" count="1" selected="0">
            <x v="20"/>
          </reference>
          <reference field="14" count="1">
            <x v="5"/>
          </reference>
          <reference field="31" count="1" selected="0">
            <x v="2"/>
          </reference>
        </references>
      </pivotArea>
    </format>
    <format dxfId="2106">
      <pivotArea dataOnly="0" labelOnly="1" outline="0" fieldPosition="0">
        <references count="4">
          <reference field="12" count="1" selected="0">
            <x v="22"/>
          </reference>
          <reference field="13" count="1" selected="0">
            <x v="1"/>
          </reference>
          <reference field="14" count="1">
            <x v="7"/>
          </reference>
          <reference field="31" count="1" selected="0">
            <x v="2"/>
          </reference>
        </references>
      </pivotArea>
    </format>
    <format dxfId="2105">
      <pivotArea dataOnly="0" labelOnly="1" outline="0" fieldPosition="0">
        <references count="4">
          <reference field="12" count="1" selected="0">
            <x v="25"/>
          </reference>
          <reference field="13" count="1" selected="0">
            <x v="12"/>
          </reference>
          <reference field="14" count="1">
            <x v="12"/>
          </reference>
          <reference field="31" count="1" selected="0">
            <x v="2"/>
          </reference>
        </references>
      </pivotArea>
    </format>
    <format dxfId="2104">
      <pivotArea dataOnly="0" labelOnly="1" outline="0" fieldPosition="0">
        <references count="4">
          <reference field="12" count="1" selected="0">
            <x v="27"/>
          </reference>
          <reference field="13" count="1" selected="0">
            <x v="48"/>
          </reference>
          <reference field="14" count="1">
            <x v="6"/>
          </reference>
          <reference field="31" count="1" selected="0">
            <x v="2"/>
          </reference>
        </references>
      </pivotArea>
    </format>
    <format dxfId="2103">
      <pivotArea dataOnly="0" labelOnly="1" outline="0" fieldPosition="0">
        <references count="4">
          <reference field="12" count="1" selected="0">
            <x v="28"/>
          </reference>
          <reference field="13" count="1" selected="0">
            <x v="32"/>
          </reference>
          <reference field="14" count="1">
            <x v="11"/>
          </reference>
          <reference field="31" count="1" selected="0">
            <x v="2"/>
          </reference>
        </references>
      </pivotArea>
    </format>
    <format dxfId="2102">
      <pivotArea dataOnly="0" labelOnly="1" outline="0" fieldPosition="0">
        <references count="4">
          <reference field="12" count="1" selected="0">
            <x v="36"/>
          </reference>
          <reference field="13" count="1" selected="0">
            <x v="37"/>
          </reference>
          <reference field="14" count="1">
            <x v="5"/>
          </reference>
          <reference field="31" count="1" selected="0">
            <x v="2"/>
          </reference>
        </references>
      </pivotArea>
    </format>
    <format dxfId="2101">
      <pivotArea dataOnly="0" labelOnly="1" outline="0" fieldPosition="0">
        <references count="4">
          <reference field="12" count="1" selected="0">
            <x v="40"/>
          </reference>
          <reference field="13" count="1" selected="0">
            <x v="42"/>
          </reference>
          <reference field="14" count="1">
            <x v="10"/>
          </reference>
          <reference field="31" count="1" selected="0">
            <x v="2"/>
          </reference>
        </references>
      </pivotArea>
    </format>
    <format dxfId="2100">
      <pivotArea dataOnly="0" labelOnly="1" outline="0" fieldPosition="0">
        <references count="4">
          <reference field="12" count="1" selected="0">
            <x v="6"/>
          </reference>
          <reference field="13" count="1" selected="0">
            <x v="33"/>
          </reference>
          <reference field="14" count="1">
            <x v="13"/>
          </reference>
          <reference field="31" count="1" selected="0">
            <x v="3"/>
          </reference>
        </references>
      </pivotArea>
    </format>
    <format dxfId="2099">
      <pivotArea dataOnly="0" labelOnly="1" outline="0" fieldPosition="0">
        <references count="4">
          <reference field="12" count="1" selected="0">
            <x v="29"/>
          </reference>
          <reference field="13" count="1" selected="0">
            <x v="30"/>
          </reference>
          <reference field="14" count="1">
            <x v="12"/>
          </reference>
          <reference field="31" count="1" selected="0">
            <x v="3"/>
          </reference>
        </references>
      </pivotArea>
    </format>
    <format dxfId="2098">
      <pivotArea dataOnly="0" labelOnly="1" outline="0" fieldPosition="0">
        <references count="4">
          <reference field="12" count="1" selected="0">
            <x v="2"/>
          </reference>
          <reference field="13" count="1" selected="0">
            <x v="3"/>
          </reference>
          <reference field="14" count="1">
            <x v="3"/>
          </reference>
          <reference field="31" count="1" selected="0">
            <x v="4"/>
          </reference>
        </references>
      </pivotArea>
    </format>
    <format dxfId="2097">
      <pivotArea dataOnly="0" labelOnly="1" outline="0" fieldPosition="0">
        <references count="4">
          <reference field="12" count="1" selected="0">
            <x v="21"/>
          </reference>
          <reference field="13" count="1" selected="0">
            <x v="17"/>
          </reference>
          <reference field="14" count="1">
            <x v="0"/>
          </reference>
          <reference field="31" count="1" selected="0">
            <x v="4"/>
          </reference>
        </references>
      </pivotArea>
    </format>
    <format dxfId="2096">
      <pivotArea dataOnly="0" labelOnly="1" outline="0" fieldPosition="0">
        <references count="4">
          <reference field="12" count="1" selected="0">
            <x v="38"/>
          </reference>
          <reference field="13" count="1" selected="0">
            <x v="39"/>
          </reference>
          <reference field="14" count="1">
            <x v="6"/>
          </reference>
          <reference field="31" count="1" selected="0">
            <x v="4"/>
          </reference>
        </references>
      </pivotArea>
    </format>
    <format dxfId="2095">
      <pivotArea dataOnly="0" labelOnly="1" outline="0" fieldPosition="0">
        <references count="4">
          <reference field="12" count="1" selected="0">
            <x v="42"/>
          </reference>
          <reference field="13" count="1" selected="0">
            <x v="44"/>
          </reference>
          <reference field="14" count="1">
            <x v="0"/>
          </reference>
          <reference field="31" count="1" selected="0">
            <x v="4"/>
          </reference>
        </references>
      </pivotArea>
    </format>
    <format dxfId="2094">
      <pivotArea dataOnly="0" labelOnly="1" outline="0" fieldPosition="0">
        <references count="4">
          <reference field="12" count="1" selected="0">
            <x v="31"/>
          </reference>
          <reference field="13" count="1" selected="0">
            <x v="14"/>
          </reference>
          <reference field="14" count="1">
            <x v="0"/>
          </reference>
          <reference field="31" count="1" selected="0">
            <x v="5"/>
          </reference>
        </references>
      </pivotArea>
    </format>
    <format dxfId="2093">
      <pivotArea dataOnly="0" labelOnly="1" outline="0" fieldPosition="0">
        <references count="4">
          <reference field="12" count="1" selected="0">
            <x v="3"/>
          </reference>
          <reference field="13" count="1" selected="0">
            <x v="16"/>
          </reference>
          <reference field="14" count="1">
            <x v="9"/>
          </reference>
          <reference field="31" count="1" selected="0">
            <x v="6"/>
          </reference>
        </references>
      </pivotArea>
    </format>
    <format dxfId="2092">
      <pivotArea dataOnly="0" labelOnly="1" outline="0" fieldPosition="0">
        <references count="4">
          <reference field="12" count="1" selected="0">
            <x v="20"/>
          </reference>
          <reference field="13" count="1" selected="0">
            <x v="35"/>
          </reference>
          <reference field="14" count="1">
            <x v="6"/>
          </reference>
          <reference field="31" count="1" selected="0">
            <x v="7"/>
          </reference>
        </references>
      </pivotArea>
    </format>
    <format dxfId="2091">
      <pivotArea dataOnly="0" labelOnly="1" outline="0" fieldPosition="0">
        <references count="4">
          <reference field="12" count="1" selected="0">
            <x v="24"/>
          </reference>
          <reference field="13" count="1" selected="0">
            <x v="9"/>
          </reference>
          <reference field="14" count="1">
            <x v="0"/>
          </reference>
          <reference field="31" count="1" selected="0">
            <x v="8"/>
          </reference>
        </references>
      </pivotArea>
    </format>
    <format dxfId="2090">
      <pivotArea dataOnly="0" labelOnly="1" outline="0" fieldPosition="0">
        <references count="5">
          <reference field="12" count="1" selected="0">
            <x v="33"/>
          </reference>
          <reference field="13" count="1" selected="0">
            <x v="2"/>
          </reference>
          <reference field="14" count="1" selected="0">
            <x v="0"/>
          </reference>
          <reference field="15" count="1">
            <x v="0"/>
          </reference>
          <reference field="31" count="1" selected="0">
            <x v="0"/>
          </reference>
        </references>
      </pivotArea>
    </format>
    <format dxfId="2089">
      <pivotArea dataOnly="0" labelOnly="1" outline="0" fieldPosition="0">
        <references count="5">
          <reference field="12" count="1" selected="0">
            <x v="9"/>
          </reference>
          <reference field="13" count="1" selected="0">
            <x v="26"/>
          </reference>
          <reference field="14" count="1" selected="0">
            <x v="2"/>
          </reference>
          <reference field="15" count="1">
            <x v="2"/>
          </reference>
          <reference field="31" count="1" selected="0">
            <x v="1"/>
          </reference>
        </references>
      </pivotArea>
    </format>
    <format dxfId="2088">
      <pivotArea dataOnly="0" labelOnly="1" outline="0" fieldPosition="0">
        <references count="5">
          <reference field="12" count="1" selected="0">
            <x v="10"/>
          </reference>
          <reference field="13" count="1" selected="0">
            <x v="27"/>
          </reference>
          <reference field="14" count="1" selected="0">
            <x v="2"/>
          </reference>
          <reference field="15" count="1">
            <x v="1"/>
          </reference>
          <reference field="31" count="1" selected="0">
            <x v="1"/>
          </reference>
        </references>
      </pivotArea>
    </format>
    <format dxfId="2087">
      <pivotArea dataOnly="0" labelOnly="1" outline="0" fieldPosition="0">
        <references count="5">
          <reference field="12" count="1" selected="0">
            <x v="11"/>
          </reference>
          <reference field="13" count="1" selected="0">
            <x v="21"/>
          </reference>
          <reference field="14" count="1" selected="0">
            <x v="4"/>
          </reference>
          <reference field="15" count="1">
            <x v="4"/>
          </reference>
          <reference field="31" count="1" selected="0">
            <x v="1"/>
          </reference>
        </references>
      </pivotArea>
    </format>
    <format dxfId="2086">
      <pivotArea dataOnly="0" labelOnly="1" outline="0" fieldPosition="0">
        <references count="5">
          <reference field="12" count="1" selected="0">
            <x v="12"/>
          </reference>
          <reference field="13" count="1" selected="0">
            <x v="28"/>
          </reference>
          <reference field="14" count="1" selected="0">
            <x v="1"/>
          </reference>
          <reference field="15" count="1">
            <x v="1"/>
          </reference>
          <reference field="31" count="1" selected="0">
            <x v="1"/>
          </reference>
        </references>
      </pivotArea>
    </format>
    <format dxfId="2085">
      <pivotArea dataOnly="0" labelOnly="1" outline="0" fieldPosition="0">
        <references count="5">
          <reference field="12" count="1" selected="0">
            <x v="18"/>
          </reference>
          <reference field="13" count="1" selected="0">
            <x v="24"/>
          </reference>
          <reference field="14" count="1" selected="0">
            <x v="4"/>
          </reference>
          <reference field="15" count="1">
            <x v="4"/>
          </reference>
          <reference field="31" count="1" selected="0">
            <x v="1"/>
          </reference>
        </references>
      </pivotArea>
    </format>
    <format dxfId="2084">
      <pivotArea dataOnly="0" labelOnly="1" outline="0" fieldPosition="0">
        <references count="5">
          <reference field="12" count="1" selected="0">
            <x v="0"/>
          </reference>
          <reference field="13" count="1" selected="0">
            <x v="10"/>
          </reference>
          <reference field="14" count="1" selected="0">
            <x v="10"/>
          </reference>
          <reference field="15" count="1">
            <x v="8"/>
          </reference>
          <reference field="31" count="1" selected="0">
            <x v="2"/>
          </reference>
        </references>
      </pivotArea>
    </format>
    <format dxfId="2083">
      <pivotArea dataOnly="0" labelOnly="1" outline="0" fieldPosition="0">
        <references count="5">
          <reference field="12" count="1" selected="0">
            <x v="13"/>
          </reference>
          <reference field="13" count="1" selected="0">
            <x v="4"/>
          </reference>
          <reference field="14" count="1" selected="0">
            <x v="7"/>
          </reference>
          <reference field="15" count="1">
            <x v="12"/>
          </reference>
          <reference field="31" count="1" selected="0">
            <x v="2"/>
          </reference>
        </references>
      </pivotArea>
    </format>
    <format dxfId="2082">
      <pivotArea dataOnly="0" labelOnly="1" outline="0" fieldPosition="0">
        <references count="5">
          <reference field="12" count="1" selected="0">
            <x v="15"/>
          </reference>
          <reference field="13" count="1" selected="0">
            <x v="34"/>
          </reference>
          <reference field="14" count="1" selected="0">
            <x v="8"/>
          </reference>
          <reference field="15" count="1">
            <x v="10"/>
          </reference>
          <reference field="31" count="1" selected="0">
            <x v="2"/>
          </reference>
        </references>
      </pivotArea>
    </format>
    <format dxfId="2081">
      <pivotArea dataOnly="0" labelOnly="1" outline="0" fieldPosition="0">
        <references count="5">
          <reference field="12" count="1" selected="0">
            <x v="16"/>
          </reference>
          <reference field="13" count="1" selected="0">
            <x v="5"/>
          </reference>
          <reference field="14" count="1" selected="0">
            <x v="7"/>
          </reference>
          <reference field="15" count="1">
            <x v="12"/>
          </reference>
          <reference field="31" count="1" selected="0">
            <x v="2"/>
          </reference>
        </references>
      </pivotArea>
    </format>
    <format dxfId="2080">
      <pivotArea dataOnly="0" labelOnly="1" outline="0" fieldPosition="0">
        <references count="5">
          <reference field="12" count="1" selected="0">
            <x v="17"/>
          </reference>
          <reference field="13" count="1" selected="0">
            <x v="20"/>
          </reference>
          <reference field="14" count="1" selected="0">
            <x v="5"/>
          </reference>
          <reference field="15" count="1">
            <x v="9"/>
          </reference>
          <reference field="31" count="1" selected="0">
            <x v="2"/>
          </reference>
        </references>
      </pivotArea>
    </format>
    <format dxfId="2079">
      <pivotArea dataOnly="0" labelOnly="1" outline="0" fieldPosition="0">
        <references count="5">
          <reference field="12" count="1" selected="0">
            <x v="22"/>
          </reference>
          <reference field="13" count="1" selected="0">
            <x v="1"/>
          </reference>
          <reference field="14" count="1" selected="0">
            <x v="7"/>
          </reference>
          <reference field="15" count="1">
            <x v="0"/>
          </reference>
          <reference field="31" count="1" selected="0">
            <x v="2"/>
          </reference>
        </references>
      </pivotArea>
    </format>
    <format dxfId="2078">
      <pivotArea dataOnly="0" labelOnly="1" outline="0" fieldPosition="0">
        <references count="5">
          <reference field="12" count="1" selected="0">
            <x v="25"/>
          </reference>
          <reference field="13" count="1" selected="0">
            <x v="12"/>
          </reference>
          <reference field="14" count="1" selected="0">
            <x v="12"/>
          </reference>
          <reference field="15" count="1">
            <x v="11"/>
          </reference>
          <reference field="31" count="1" selected="0">
            <x v="2"/>
          </reference>
        </references>
      </pivotArea>
    </format>
    <format dxfId="2077">
      <pivotArea dataOnly="0" labelOnly="1" outline="0" fieldPosition="0">
        <references count="5">
          <reference field="12" count="1" selected="0">
            <x v="27"/>
          </reference>
          <reference field="13" count="1" selected="0">
            <x v="48"/>
          </reference>
          <reference field="14" count="1" selected="0">
            <x v="6"/>
          </reference>
          <reference field="15" count="1">
            <x v="7"/>
          </reference>
          <reference field="31" count="1" selected="0">
            <x v="2"/>
          </reference>
        </references>
      </pivotArea>
    </format>
    <format dxfId="2076">
      <pivotArea dataOnly="0" labelOnly="1" outline="0" fieldPosition="0">
        <references count="5">
          <reference field="12" count="1" selected="0">
            <x v="28"/>
          </reference>
          <reference field="13" count="1" selected="0">
            <x v="32"/>
          </reference>
          <reference field="14" count="1" selected="0">
            <x v="11"/>
          </reference>
          <reference field="15" count="1">
            <x v="6"/>
          </reference>
          <reference field="31" count="1" selected="0">
            <x v="2"/>
          </reference>
        </references>
      </pivotArea>
    </format>
    <format dxfId="2075">
      <pivotArea dataOnly="0" labelOnly="1" outline="0" fieldPosition="0">
        <references count="5">
          <reference field="12" count="1" selected="0">
            <x v="36"/>
          </reference>
          <reference field="13" count="1" selected="0">
            <x v="37"/>
          </reference>
          <reference field="14" count="1" selected="0">
            <x v="5"/>
          </reference>
          <reference field="15" count="1">
            <x v="8"/>
          </reference>
          <reference field="31" count="1" selected="0">
            <x v="2"/>
          </reference>
        </references>
      </pivotArea>
    </format>
    <format dxfId="2074">
      <pivotArea dataOnly="0" labelOnly="1" outline="0" fieldPosition="0">
        <references count="5">
          <reference field="12" count="1" selected="0">
            <x v="6"/>
          </reference>
          <reference field="13" count="1" selected="0">
            <x v="33"/>
          </reference>
          <reference field="14" count="1" selected="0">
            <x v="13"/>
          </reference>
          <reference field="15" count="1">
            <x v="2"/>
          </reference>
          <reference field="31" count="1" selected="0">
            <x v="3"/>
          </reference>
        </references>
      </pivotArea>
    </format>
    <format dxfId="2073">
      <pivotArea dataOnly="0" labelOnly="1" outline="0" fieldPosition="0">
        <references count="5">
          <reference field="12" count="1" selected="0">
            <x v="29"/>
          </reference>
          <reference field="13" count="1" selected="0">
            <x v="30"/>
          </reference>
          <reference field="14" count="1" selected="0">
            <x v="12"/>
          </reference>
          <reference field="15" count="1">
            <x v="3"/>
          </reference>
          <reference field="31" count="1" selected="0">
            <x v="3"/>
          </reference>
        </references>
      </pivotArea>
    </format>
    <format dxfId="2072">
      <pivotArea dataOnly="0" labelOnly="1" outline="0" fieldPosition="0">
        <references count="5">
          <reference field="12" count="1" selected="0">
            <x v="2"/>
          </reference>
          <reference field="13" count="1" selected="0">
            <x v="3"/>
          </reference>
          <reference field="14" count="1" selected="0">
            <x v="3"/>
          </reference>
          <reference field="15" count="1">
            <x v="6"/>
          </reference>
          <reference field="31" count="1" selected="0">
            <x v="4"/>
          </reference>
        </references>
      </pivotArea>
    </format>
    <format dxfId="2071">
      <pivotArea dataOnly="0" labelOnly="1" outline="0" fieldPosition="0">
        <references count="5">
          <reference field="12" count="1" selected="0">
            <x v="21"/>
          </reference>
          <reference field="13" count="1" selected="0">
            <x v="17"/>
          </reference>
          <reference field="14" count="1" selected="0">
            <x v="0"/>
          </reference>
          <reference field="15" count="1">
            <x v="0"/>
          </reference>
          <reference field="31" count="1" selected="0">
            <x v="4"/>
          </reference>
        </references>
      </pivotArea>
    </format>
    <format dxfId="2070">
      <pivotArea dataOnly="0" labelOnly="1" outline="0" fieldPosition="0">
        <references count="5">
          <reference field="12" count="1" selected="0">
            <x v="38"/>
          </reference>
          <reference field="13" count="1" selected="0">
            <x v="39"/>
          </reference>
          <reference field="14" count="1" selected="0">
            <x v="6"/>
          </reference>
          <reference field="15" count="1">
            <x v="14"/>
          </reference>
          <reference field="31" count="1" selected="0">
            <x v="4"/>
          </reference>
        </references>
      </pivotArea>
    </format>
    <format dxfId="2069">
      <pivotArea dataOnly="0" labelOnly="1" outline="0" fieldPosition="0">
        <references count="5">
          <reference field="12" count="1" selected="0">
            <x v="42"/>
          </reference>
          <reference field="13" count="1" selected="0">
            <x v="44"/>
          </reference>
          <reference field="14" count="1" selected="0">
            <x v="0"/>
          </reference>
          <reference field="15" count="1">
            <x v="0"/>
          </reference>
          <reference field="31" count="1" selected="0">
            <x v="4"/>
          </reference>
        </references>
      </pivotArea>
    </format>
    <format dxfId="2068">
      <pivotArea dataOnly="0" labelOnly="1" outline="0" fieldPosition="0">
        <references count="5">
          <reference field="12" count="1" selected="0">
            <x v="31"/>
          </reference>
          <reference field="13" count="1" selected="0">
            <x v="14"/>
          </reference>
          <reference field="14" count="1" selected="0">
            <x v="0"/>
          </reference>
          <reference field="15" count="1">
            <x v="2"/>
          </reference>
          <reference field="31" count="1" selected="0">
            <x v="5"/>
          </reference>
        </references>
      </pivotArea>
    </format>
    <format dxfId="2067">
      <pivotArea dataOnly="0" labelOnly="1" outline="0" fieldPosition="0">
        <references count="5">
          <reference field="12" count="1" selected="0">
            <x v="32"/>
          </reference>
          <reference field="13" count="1" selected="0">
            <x v="23"/>
          </reference>
          <reference field="14" count="1" selected="0">
            <x v="0"/>
          </reference>
          <reference field="15" count="1">
            <x v="13"/>
          </reference>
          <reference field="31" count="1" selected="0">
            <x v="5"/>
          </reference>
        </references>
      </pivotArea>
    </format>
    <format dxfId="2066">
      <pivotArea dataOnly="0" labelOnly="1" outline="0" fieldPosition="0">
        <references count="5">
          <reference field="12" count="1" selected="0">
            <x v="3"/>
          </reference>
          <reference field="13" count="1" selected="0">
            <x v="16"/>
          </reference>
          <reference field="14" count="1" selected="0">
            <x v="9"/>
          </reference>
          <reference field="15" count="1">
            <x v="5"/>
          </reference>
          <reference field="31" count="1" selected="0">
            <x v="6"/>
          </reference>
        </references>
      </pivotArea>
    </format>
    <format dxfId="2065">
      <pivotArea dataOnly="0" labelOnly="1" outline="0" fieldPosition="0">
        <references count="5">
          <reference field="12" count="1" selected="0">
            <x v="20"/>
          </reference>
          <reference field="13" count="1" selected="0">
            <x v="35"/>
          </reference>
          <reference field="14" count="1" selected="0">
            <x v="6"/>
          </reference>
          <reference field="15" count="1">
            <x v="2"/>
          </reference>
          <reference field="31" count="1" selected="0">
            <x v="7"/>
          </reference>
        </references>
      </pivotArea>
    </format>
    <format dxfId="2064">
      <pivotArea dataOnly="0" labelOnly="1" outline="0" fieldPosition="0">
        <references count="5">
          <reference field="12" count="1" selected="0">
            <x v="24"/>
          </reference>
          <reference field="13" count="1" selected="0">
            <x v="9"/>
          </reference>
          <reference field="14" count="1" selected="0">
            <x v="0"/>
          </reference>
          <reference field="15" count="1">
            <x v="0"/>
          </reference>
          <reference field="31" count="1" selected="0">
            <x v="8"/>
          </reference>
        </references>
      </pivotArea>
    </format>
    <format dxfId="2063">
      <pivotArea dataOnly="0" labelOnly="1" outline="0" fieldPosition="0">
        <references count="6">
          <reference field="12" count="1" selected="0">
            <x v="33"/>
          </reference>
          <reference field="13" count="1" selected="0">
            <x v="2"/>
          </reference>
          <reference field="14" count="1" selected="0">
            <x v="0"/>
          </reference>
          <reference field="15" count="1" selected="0">
            <x v="0"/>
          </reference>
          <reference field="16" count="1">
            <x v="0"/>
          </reference>
          <reference field="31" count="1" selected="0">
            <x v="0"/>
          </reference>
        </references>
      </pivotArea>
    </format>
    <format dxfId="2062">
      <pivotArea dataOnly="0" labelOnly="1" outline="0" fieldPosition="0">
        <references count="6">
          <reference field="12" count="1" selected="0">
            <x v="9"/>
          </reference>
          <reference field="13" count="1" selected="0">
            <x v="26"/>
          </reference>
          <reference field="14" count="1" selected="0">
            <x v="2"/>
          </reference>
          <reference field="15" count="1" selected="0">
            <x v="2"/>
          </reference>
          <reference field="16" count="1">
            <x v="10"/>
          </reference>
          <reference field="31" count="1" selected="0">
            <x v="1"/>
          </reference>
        </references>
      </pivotArea>
    </format>
    <format dxfId="2061">
      <pivotArea dataOnly="0" labelOnly="1" outline="0" fieldPosition="0">
        <references count="6">
          <reference field="12" count="1" selected="0">
            <x v="10"/>
          </reference>
          <reference field="13" count="1" selected="0">
            <x v="27"/>
          </reference>
          <reference field="14" count="1" selected="0">
            <x v="2"/>
          </reference>
          <reference field="15" count="1" selected="0">
            <x v="1"/>
          </reference>
          <reference field="16" count="1">
            <x v="7"/>
          </reference>
          <reference field="31" count="1" selected="0">
            <x v="1"/>
          </reference>
        </references>
      </pivotArea>
    </format>
    <format dxfId="2060">
      <pivotArea dataOnly="0" labelOnly="1" outline="0" fieldPosition="0">
        <references count="6">
          <reference field="12" count="1" selected="0">
            <x v="11"/>
          </reference>
          <reference field="13" count="1" selected="0">
            <x v="21"/>
          </reference>
          <reference field="14" count="1" selected="0">
            <x v="4"/>
          </reference>
          <reference field="15" count="1" selected="0">
            <x v="4"/>
          </reference>
          <reference field="16" count="1">
            <x v="0"/>
          </reference>
          <reference field="31" count="1" selected="0">
            <x v="1"/>
          </reference>
        </references>
      </pivotArea>
    </format>
    <format dxfId="2059">
      <pivotArea dataOnly="0" labelOnly="1" outline="0" fieldPosition="0">
        <references count="6">
          <reference field="12" count="1" selected="0">
            <x v="12"/>
          </reference>
          <reference field="13" count="1" selected="0">
            <x v="28"/>
          </reference>
          <reference field="14" count="1" selected="0">
            <x v="1"/>
          </reference>
          <reference field="15" count="1" selected="0">
            <x v="1"/>
          </reference>
          <reference field="16" count="1">
            <x v="7"/>
          </reference>
          <reference field="31" count="1" selected="0">
            <x v="1"/>
          </reference>
        </references>
      </pivotArea>
    </format>
    <format dxfId="2058">
      <pivotArea dataOnly="0" labelOnly="1" outline="0" fieldPosition="0">
        <references count="6">
          <reference field="12" count="1" selected="0">
            <x v="18"/>
          </reference>
          <reference field="13" count="1" selected="0">
            <x v="24"/>
          </reference>
          <reference field="14" count="1" selected="0">
            <x v="4"/>
          </reference>
          <reference field="15" count="1" selected="0">
            <x v="4"/>
          </reference>
          <reference field="16" count="1">
            <x v="0"/>
          </reference>
          <reference field="31" count="1" selected="0">
            <x v="1"/>
          </reference>
        </references>
      </pivotArea>
    </format>
    <format dxfId="2057">
      <pivotArea dataOnly="0" labelOnly="1" outline="0" fieldPosition="0">
        <references count="6">
          <reference field="12" count="1" selected="0">
            <x v="0"/>
          </reference>
          <reference field="13" count="1" selected="0">
            <x v="10"/>
          </reference>
          <reference field="14" count="1" selected="0">
            <x v="10"/>
          </reference>
          <reference field="15" count="1" selected="0">
            <x v="8"/>
          </reference>
          <reference field="16" count="1">
            <x v="8"/>
          </reference>
          <reference field="31" count="1" selected="0">
            <x v="2"/>
          </reference>
        </references>
      </pivotArea>
    </format>
    <format dxfId="2056">
      <pivotArea dataOnly="0" labelOnly="1" outline="0" fieldPosition="0">
        <references count="6">
          <reference field="12" count="1" selected="0">
            <x v="13"/>
          </reference>
          <reference field="13" count="1" selected="0">
            <x v="4"/>
          </reference>
          <reference field="14" count="1" selected="0">
            <x v="7"/>
          </reference>
          <reference field="15" count="1" selected="0">
            <x v="12"/>
          </reference>
          <reference field="16" count="1">
            <x v="1"/>
          </reference>
          <reference field="31" count="1" selected="0">
            <x v="2"/>
          </reference>
        </references>
      </pivotArea>
    </format>
    <format dxfId="2055">
      <pivotArea dataOnly="0" labelOnly="1" outline="0" fieldPosition="0">
        <references count="6">
          <reference field="12" count="1" selected="0">
            <x v="15"/>
          </reference>
          <reference field="13" count="1" selected="0">
            <x v="34"/>
          </reference>
          <reference field="14" count="1" selected="0">
            <x v="8"/>
          </reference>
          <reference field="15" count="1" selected="0">
            <x v="10"/>
          </reference>
          <reference field="16" count="1">
            <x v="7"/>
          </reference>
          <reference field="31" count="1" selected="0">
            <x v="2"/>
          </reference>
        </references>
      </pivotArea>
    </format>
    <format dxfId="2054">
      <pivotArea dataOnly="0" labelOnly="1" outline="0" fieldPosition="0">
        <references count="6">
          <reference field="12" count="1" selected="0">
            <x v="16"/>
          </reference>
          <reference field="13" count="1" selected="0">
            <x v="5"/>
          </reference>
          <reference field="14" count="1" selected="0">
            <x v="7"/>
          </reference>
          <reference field="15" count="1" selected="0">
            <x v="12"/>
          </reference>
          <reference field="16" count="1">
            <x v="1"/>
          </reference>
          <reference field="31" count="1" selected="0">
            <x v="2"/>
          </reference>
        </references>
      </pivotArea>
    </format>
    <format dxfId="2053">
      <pivotArea dataOnly="0" labelOnly="1" outline="0" fieldPosition="0">
        <references count="6">
          <reference field="12" count="1" selected="0">
            <x v="22"/>
          </reference>
          <reference field="13" count="1" selected="0">
            <x v="1"/>
          </reference>
          <reference field="14" count="1" selected="0">
            <x v="7"/>
          </reference>
          <reference field="15" count="1" selected="0">
            <x v="0"/>
          </reference>
          <reference field="16" count="1">
            <x v="0"/>
          </reference>
          <reference field="31" count="1" selected="0">
            <x v="2"/>
          </reference>
        </references>
      </pivotArea>
    </format>
    <format dxfId="2052">
      <pivotArea dataOnly="0" labelOnly="1" outline="0" fieldPosition="0">
        <references count="6">
          <reference field="12" count="1" selected="0">
            <x v="25"/>
          </reference>
          <reference field="13" count="1" selected="0">
            <x v="12"/>
          </reference>
          <reference field="14" count="1" selected="0">
            <x v="12"/>
          </reference>
          <reference field="15" count="1" selected="0">
            <x v="11"/>
          </reference>
          <reference field="16" count="1">
            <x v="6"/>
          </reference>
          <reference field="31" count="1" selected="0">
            <x v="2"/>
          </reference>
        </references>
      </pivotArea>
    </format>
    <format dxfId="2051">
      <pivotArea dataOnly="0" labelOnly="1" outline="0" fieldPosition="0">
        <references count="6">
          <reference field="12" count="1" selected="0">
            <x v="27"/>
          </reference>
          <reference field="13" count="1" selected="0">
            <x v="48"/>
          </reference>
          <reference field="14" count="1" selected="0">
            <x v="6"/>
          </reference>
          <reference field="15" count="1" selected="0">
            <x v="7"/>
          </reference>
          <reference field="16" count="1">
            <x v="8"/>
          </reference>
          <reference field="31" count="1" selected="0">
            <x v="2"/>
          </reference>
        </references>
      </pivotArea>
    </format>
    <format dxfId="2050">
      <pivotArea dataOnly="0" labelOnly="1" outline="0" fieldPosition="0">
        <references count="6">
          <reference field="12" count="1" selected="0">
            <x v="28"/>
          </reference>
          <reference field="13" count="1" selected="0">
            <x v="32"/>
          </reference>
          <reference field="14" count="1" selected="0">
            <x v="11"/>
          </reference>
          <reference field="15" count="1" selected="0">
            <x v="6"/>
          </reference>
          <reference field="16" count="1">
            <x v="7"/>
          </reference>
          <reference field="31" count="1" selected="0">
            <x v="2"/>
          </reference>
        </references>
      </pivotArea>
    </format>
    <format dxfId="2049">
      <pivotArea dataOnly="0" labelOnly="1" outline="0" fieldPosition="0">
        <references count="6">
          <reference field="12" count="1" selected="0">
            <x v="36"/>
          </reference>
          <reference field="13" count="1" selected="0">
            <x v="37"/>
          </reference>
          <reference field="14" count="1" selected="0">
            <x v="5"/>
          </reference>
          <reference field="15" count="1" selected="0">
            <x v="8"/>
          </reference>
          <reference field="16" count="1">
            <x v="11"/>
          </reference>
          <reference field="31" count="1" selected="0">
            <x v="2"/>
          </reference>
        </references>
      </pivotArea>
    </format>
    <format dxfId="2048">
      <pivotArea dataOnly="0" labelOnly="1" outline="0" fieldPosition="0">
        <references count="6">
          <reference field="12" count="1" selected="0">
            <x v="40"/>
          </reference>
          <reference field="13" count="1" selected="0">
            <x v="42"/>
          </reference>
          <reference field="14" count="1" selected="0">
            <x v="10"/>
          </reference>
          <reference field="15" count="1" selected="0">
            <x v="8"/>
          </reference>
          <reference field="16" count="1">
            <x v="8"/>
          </reference>
          <reference field="31" count="1" selected="0">
            <x v="2"/>
          </reference>
        </references>
      </pivotArea>
    </format>
    <format dxfId="2047">
      <pivotArea dataOnly="0" labelOnly="1" outline="0" fieldPosition="0">
        <references count="6">
          <reference field="12" count="1" selected="0">
            <x v="6"/>
          </reference>
          <reference field="13" count="1" selected="0">
            <x v="33"/>
          </reference>
          <reference field="14" count="1" selected="0">
            <x v="13"/>
          </reference>
          <reference field="15" count="1" selected="0">
            <x v="2"/>
          </reference>
          <reference field="16" count="1">
            <x v="9"/>
          </reference>
          <reference field="31" count="1" selected="0">
            <x v="3"/>
          </reference>
        </references>
      </pivotArea>
    </format>
    <format dxfId="2046">
      <pivotArea dataOnly="0" labelOnly="1" outline="0" fieldPosition="0">
        <references count="6">
          <reference field="12" count="1" selected="0">
            <x v="29"/>
          </reference>
          <reference field="13" count="1" selected="0">
            <x v="30"/>
          </reference>
          <reference field="14" count="1" selected="0">
            <x v="12"/>
          </reference>
          <reference field="15" count="1" selected="0">
            <x v="3"/>
          </reference>
          <reference field="16" count="1">
            <x v="1"/>
          </reference>
          <reference field="31" count="1" selected="0">
            <x v="3"/>
          </reference>
        </references>
      </pivotArea>
    </format>
    <format dxfId="2045">
      <pivotArea dataOnly="0" labelOnly="1" outline="0" fieldPosition="0">
        <references count="6">
          <reference field="12" count="1" selected="0">
            <x v="2"/>
          </reference>
          <reference field="13" count="1" selected="0">
            <x v="3"/>
          </reference>
          <reference field="14" count="1" selected="0">
            <x v="3"/>
          </reference>
          <reference field="15" count="1" selected="0">
            <x v="6"/>
          </reference>
          <reference field="16" count="1">
            <x v="2"/>
          </reference>
          <reference field="31" count="1" selected="0">
            <x v="4"/>
          </reference>
        </references>
      </pivotArea>
    </format>
    <format dxfId="2044">
      <pivotArea dataOnly="0" labelOnly="1" outline="0" fieldPosition="0">
        <references count="6">
          <reference field="12" count="1" selected="0">
            <x v="21"/>
          </reference>
          <reference field="13" count="1" selected="0">
            <x v="17"/>
          </reference>
          <reference field="14" count="1" selected="0">
            <x v="0"/>
          </reference>
          <reference field="15" count="1" selected="0">
            <x v="0"/>
          </reference>
          <reference field="16" count="1">
            <x v="0"/>
          </reference>
          <reference field="31" count="1" selected="0">
            <x v="4"/>
          </reference>
        </references>
      </pivotArea>
    </format>
    <format dxfId="2043">
      <pivotArea dataOnly="0" labelOnly="1" outline="0" fieldPosition="0">
        <references count="6">
          <reference field="12" count="1" selected="0">
            <x v="38"/>
          </reference>
          <reference field="13" count="1" selected="0">
            <x v="39"/>
          </reference>
          <reference field="14" count="1" selected="0">
            <x v="6"/>
          </reference>
          <reference field="15" count="1" selected="0">
            <x v="14"/>
          </reference>
          <reference field="16" count="1">
            <x v="3"/>
          </reference>
          <reference field="31" count="1" selected="0">
            <x v="4"/>
          </reference>
        </references>
      </pivotArea>
    </format>
    <format dxfId="2042">
      <pivotArea dataOnly="0" labelOnly="1" outline="0" fieldPosition="0">
        <references count="6">
          <reference field="12" count="1" selected="0">
            <x v="42"/>
          </reference>
          <reference field="13" count="1" selected="0">
            <x v="44"/>
          </reference>
          <reference field="14" count="1" selected="0">
            <x v="0"/>
          </reference>
          <reference field="15" count="1" selected="0">
            <x v="0"/>
          </reference>
          <reference field="16" count="1">
            <x v="0"/>
          </reference>
          <reference field="31" count="1" selected="0">
            <x v="4"/>
          </reference>
        </references>
      </pivotArea>
    </format>
    <format dxfId="2041">
      <pivotArea dataOnly="0" labelOnly="1" outline="0" fieldPosition="0">
        <references count="6">
          <reference field="12" count="1" selected="0">
            <x v="31"/>
          </reference>
          <reference field="13" count="1" selected="0">
            <x v="14"/>
          </reference>
          <reference field="14" count="1" selected="0">
            <x v="0"/>
          </reference>
          <reference field="15" count="1" selected="0">
            <x v="2"/>
          </reference>
          <reference field="16" count="1">
            <x v="4"/>
          </reference>
          <reference field="31" count="1" selected="0">
            <x v="5"/>
          </reference>
        </references>
      </pivotArea>
    </format>
    <format dxfId="2040">
      <pivotArea dataOnly="0" labelOnly="1" outline="0" fieldPosition="0">
        <references count="6">
          <reference field="12" count="1" selected="0">
            <x v="32"/>
          </reference>
          <reference field="13" count="1" selected="0">
            <x v="23"/>
          </reference>
          <reference field="14" count="1" selected="0">
            <x v="0"/>
          </reference>
          <reference field="15" count="1" selected="0">
            <x v="13"/>
          </reference>
          <reference field="16" count="1">
            <x v="5"/>
          </reference>
          <reference field="31" count="1" selected="0">
            <x v="5"/>
          </reference>
        </references>
      </pivotArea>
    </format>
    <format dxfId="2039">
      <pivotArea dataOnly="0" labelOnly="1" outline="0" fieldPosition="0">
        <references count="6">
          <reference field="12" count="1" selected="0">
            <x v="3"/>
          </reference>
          <reference field="13" count="1" selected="0">
            <x v="16"/>
          </reference>
          <reference field="14" count="1" selected="0">
            <x v="9"/>
          </reference>
          <reference field="15" count="1" selected="0">
            <x v="5"/>
          </reference>
          <reference field="16" count="1">
            <x v="6"/>
          </reference>
          <reference field="31" count="1" selected="0">
            <x v="6"/>
          </reference>
        </references>
      </pivotArea>
    </format>
    <format dxfId="2038">
      <pivotArea dataOnly="0" labelOnly="1" outline="0" fieldPosition="0">
        <references count="6">
          <reference field="12" count="1" selected="0">
            <x v="20"/>
          </reference>
          <reference field="13" count="1" selected="0">
            <x v="35"/>
          </reference>
          <reference field="14" count="1" selected="0">
            <x v="6"/>
          </reference>
          <reference field="15" count="1" selected="0">
            <x v="2"/>
          </reference>
          <reference field="16" count="1">
            <x v="3"/>
          </reference>
          <reference field="31" count="1" selected="0">
            <x v="7"/>
          </reference>
        </references>
      </pivotArea>
    </format>
    <format dxfId="2037">
      <pivotArea dataOnly="0" labelOnly="1" outline="0" fieldPosition="0">
        <references count="6">
          <reference field="12" count="1" selected="0">
            <x v="24"/>
          </reference>
          <reference field="13" count="1" selected="0">
            <x v="9"/>
          </reference>
          <reference field="14" count="1" selected="0">
            <x v="0"/>
          </reference>
          <reference field="15" count="1" selected="0">
            <x v="0"/>
          </reference>
          <reference field="16" count="1">
            <x v="0"/>
          </reference>
          <reference field="31" count="1" selected="0">
            <x v="8"/>
          </reference>
        </references>
      </pivotArea>
    </format>
    <format dxfId="2036">
      <pivotArea dataOnly="0" labelOnly="1" outline="0" fieldPosition="0">
        <references count="7">
          <reference field="12" count="1" selected="0">
            <x v="33"/>
          </reference>
          <reference field="13" count="1" selected="0">
            <x v="2"/>
          </reference>
          <reference field="14" count="1" selected="0">
            <x v="0"/>
          </reference>
          <reference field="15" count="1" selected="0">
            <x v="0"/>
          </reference>
          <reference field="16" count="1" selected="0">
            <x v="0"/>
          </reference>
          <reference field="17" count="1">
            <x v="0"/>
          </reference>
          <reference field="31" count="1" selected="0">
            <x v="0"/>
          </reference>
        </references>
      </pivotArea>
    </format>
    <format dxfId="2035">
      <pivotArea dataOnly="0" labelOnly="1" outline="0" fieldPosition="0">
        <references count="7">
          <reference field="12" count="1" selected="0">
            <x v="9"/>
          </reference>
          <reference field="13" count="1" selected="0">
            <x v="26"/>
          </reference>
          <reference field="14" count="1" selected="0">
            <x v="2"/>
          </reference>
          <reference field="15" count="1" selected="0">
            <x v="2"/>
          </reference>
          <reference field="16" count="1" selected="0">
            <x v="10"/>
          </reference>
          <reference field="17" count="1">
            <x v="7"/>
          </reference>
          <reference field="31" count="1" selected="0">
            <x v="1"/>
          </reference>
        </references>
      </pivotArea>
    </format>
    <format dxfId="2034">
      <pivotArea dataOnly="0" labelOnly="1" outline="0" fieldPosition="0">
        <references count="7">
          <reference field="12" count="1" selected="0">
            <x v="11"/>
          </reference>
          <reference field="13" count="1" selected="0">
            <x v="21"/>
          </reference>
          <reference field="14" count="1" selected="0">
            <x v="4"/>
          </reference>
          <reference field="15" count="1" selected="0">
            <x v="4"/>
          </reference>
          <reference field="16" count="1" selected="0">
            <x v="0"/>
          </reference>
          <reference field="17" count="1">
            <x v="3"/>
          </reference>
          <reference field="31" count="1" selected="0">
            <x v="1"/>
          </reference>
        </references>
      </pivotArea>
    </format>
    <format dxfId="2033">
      <pivotArea dataOnly="0" labelOnly="1" outline="0" fieldPosition="0">
        <references count="7">
          <reference field="12" count="1" selected="0">
            <x v="12"/>
          </reference>
          <reference field="13" count="1" selected="0">
            <x v="28"/>
          </reference>
          <reference field="14" count="1" selected="0">
            <x v="1"/>
          </reference>
          <reference field="15" count="1" selected="0">
            <x v="1"/>
          </reference>
          <reference field="16" count="1" selected="0">
            <x v="7"/>
          </reference>
          <reference field="17" count="1">
            <x v="11"/>
          </reference>
          <reference field="31" count="1" selected="0">
            <x v="1"/>
          </reference>
        </references>
      </pivotArea>
    </format>
    <format dxfId="2032">
      <pivotArea dataOnly="0" labelOnly="1" outline="0" fieldPosition="0">
        <references count="7">
          <reference field="12" count="1" selected="0">
            <x v="18"/>
          </reference>
          <reference field="13" count="1" selected="0">
            <x v="24"/>
          </reference>
          <reference field="14" count="1" selected="0">
            <x v="4"/>
          </reference>
          <reference field="15" count="1" selected="0">
            <x v="4"/>
          </reference>
          <reference field="16" count="1" selected="0">
            <x v="0"/>
          </reference>
          <reference field="17" count="1">
            <x v="3"/>
          </reference>
          <reference field="31" count="1" selected="0">
            <x v="1"/>
          </reference>
        </references>
      </pivotArea>
    </format>
    <format dxfId="2031">
      <pivotArea dataOnly="0" labelOnly="1" outline="0" fieldPosition="0">
        <references count="7">
          <reference field="12" count="1" selected="0">
            <x v="0"/>
          </reference>
          <reference field="13" count="1" selected="0">
            <x v="10"/>
          </reference>
          <reference field="14" count="1" selected="0">
            <x v="10"/>
          </reference>
          <reference field="15" count="1" selected="0">
            <x v="8"/>
          </reference>
          <reference field="16" count="1" selected="0">
            <x v="8"/>
          </reference>
          <reference field="17" count="1">
            <x v="12"/>
          </reference>
          <reference field="31" count="1" selected="0">
            <x v="2"/>
          </reference>
        </references>
      </pivotArea>
    </format>
    <format dxfId="2030">
      <pivotArea dataOnly="0" labelOnly="1" outline="0" fieldPosition="0">
        <references count="7">
          <reference field="12" count="1" selected="0">
            <x v="13"/>
          </reference>
          <reference field="13" count="1" selected="0">
            <x v="4"/>
          </reference>
          <reference field="14" count="1" selected="0">
            <x v="7"/>
          </reference>
          <reference field="15" count="1" selected="0">
            <x v="12"/>
          </reference>
          <reference field="16" count="1" selected="0">
            <x v="1"/>
          </reference>
          <reference field="17" count="1">
            <x v="5"/>
          </reference>
          <reference field="31" count="1" selected="0">
            <x v="2"/>
          </reference>
        </references>
      </pivotArea>
    </format>
    <format dxfId="2029">
      <pivotArea dataOnly="0" labelOnly="1" outline="0" fieldPosition="0">
        <references count="7">
          <reference field="12" count="1" selected="0">
            <x v="15"/>
          </reference>
          <reference field="13" count="1" selected="0">
            <x v="34"/>
          </reference>
          <reference field="14" count="1" selected="0">
            <x v="8"/>
          </reference>
          <reference field="15" count="1" selected="0">
            <x v="10"/>
          </reference>
          <reference field="16" count="1" selected="0">
            <x v="7"/>
          </reference>
          <reference field="17" count="1">
            <x v="0"/>
          </reference>
          <reference field="31" count="1" selected="0">
            <x v="2"/>
          </reference>
        </references>
      </pivotArea>
    </format>
    <format dxfId="2028">
      <pivotArea dataOnly="0" labelOnly="1" outline="0" fieldPosition="0">
        <references count="7">
          <reference field="12" count="1" selected="0">
            <x v="16"/>
          </reference>
          <reference field="13" count="1" selected="0">
            <x v="5"/>
          </reference>
          <reference field="14" count="1" selected="0">
            <x v="7"/>
          </reference>
          <reference field="15" count="1" selected="0">
            <x v="12"/>
          </reference>
          <reference field="16" count="1" selected="0">
            <x v="1"/>
          </reference>
          <reference field="17" count="1">
            <x v="5"/>
          </reference>
          <reference field="31" count="1" selected="0">
            <x v="2"/>
          </reference>
        </references>
      </pivotArea>
    </format>
    <format dxfId="2027">
      <pivotArea dataOnly="0" labelOnly="1" outline="0" fieldPosition="0">
        <references count="7">
          <reference field="12" count="1" selected="0">
            <x v="17"/>
          </reference>
          <reference field="13" count="1" selected="0">
            <x v="20"/>
          </reference>
          <reference field="14" count="1" selected="0">
            <x v="5"/>
          </reference>
          <reference field="15" count="1" selected="0">
            <x v="9"/>
          </reference>
          <reference field="16" count="1" selected="0">
            <x v="1"/>
          </reference>
          <reference field="17" count="1">
            <x v="4"/>
          </reference>
          <reference field="31" count="1" selected="0">
            <x v="2"/>
          </reference>
        </references>
      </pivotArea>
    </format>
    <format dxfId="2026">
      <pivotArea dataOnly="0" labelOnly="1" outline="0" fieldPosition="0">
        <references count="7">
          <reference field="12" count="1" selected="0">
            <x v="22"/>
          </reference>
          <reference field="13" count="1" selected="0">
            <x v="1"/>
          </reference>
          <reference field="14" count="1" selected="0">
            <x v="7"/>
          </reference>
          <reference field="15" count="1" selected="0">
            <x v="0"/>
          </reference>
          <reference field="16" count="1" selected="0">
            <x v="0"/>
          </reference>
          <reference field="17" count="1">
            <x v="0"/>
          </reference>
          <reference field="31" count="1" selected="0">
            <x v="2"/>
          </reference>
        </references>
      </pivotArea>
    </format>
    <format dxfId="2025">
      <pivotArea dataOnly="0" labelOnly="1" outline="0" fieldPosition="0">
        <references count="7">
          <reference field="12" count="1" selected="0">
            <x v="25"/>
          </reference>
          <reference field="13" count="1" selected="0">
            <x v="12"/>
          </reference>
          <reference field="14" count="1" selected="0">
            <x v="12"/>
          </reference>
          <reference field="15" count="1" selected="0">
            <x v="11"/>
          </reference>
          <reference field="16" count="1" selected="0">
            <x v="6"/>
          </reference>
          <reference field="17" count="1">
            <x v="10"/>
          </reference>
          <reference field="31" count="1" selected="0">
            <x v="2"/>
          </reference>
        </references>
      </pivotArea>
    </format>
    <format dxfId="2024">
      <pivotArea dataOnly="0" labelOnly="1" outline="0" fieldPosition="0">
        <references count="7">
          <reference field="12" count="1" selected="0">
            <x v="27"/>
          </reference>
          <reference field="13" count="1" selected="0">
            <x v="48"/>
          </reference>
          <reference field="14" count="1" selected="0">
            <x v="6"/>
          </reference>
          <reference field="15" count="1" selected="0">
            <x v="7"/>
          </reference>
          <reference field="16" count="1" selected="0">
            <x v="8"/>
          </reference>
          <reference field="17" count="1">
            <x v="12"/>
          </reference>
          <reference field="31" count="1" selected="0">
            <x v="2"/>
          </reference>
        </references>
      </pivotArea>
    </format>
    <format dxfId="2023">
      <pivotArea dataOnly="0" labelOnly="1" outline="0" fieldPosition="0">
        <references count="7">
          <reference field="12" count="1" selected="0">
            <x v="28"/>
          </reference>
          <reference field="13" count="1" selected="0">
            <x v="32"/>
          </reference>
          <reference field="14" count="1" selected="0">
            <x v="11"/>
          </reference>
          <reference field="15" count="1" selected="0">
            <x v="6"/>
          </reference>
          <reference field="16" count="1" selected="0">
            <x v="7"/>
          </reference>
          <reference field="17" count="1">
            <x v="10"/>
          </reference>
          <reference field="31" count="1" selected="0">
            <x v="2"/>
          </reference>
        </references>
      </pivotArea>
    </format>
    <format dxfId="2022">
      <pivotArea dataOnly="0" labelOnly="1" outline="0" fieldPosition="0">
        <references count="7">
          <reference field="12" count="1" selected="0">
            <x v="36"/>
          </reference>
          <reference field="13" count="1" selected="0">
            <x v="37"/>
          </reference>
          <reference field="14" count="1" selected="0">
            <x v="5"/>
          </reference>
          <reference field="15" count="1" selected="0">
            <x v="8"/>
          </reference>
          <reference field="16" count="1" selected="0">
            <x v="11"/>
          </reference>
          <reference field="17" count="1">
            <x v="4"/>
          </reference>
          <reference field="31" count="1" selected="0">
            <x v="2"/>
          </reference>
        </references>
      </pivotArea>
    </format>
    <format dxfId="2021">
      <pivotArea dataOnly="0" labelOnly="1" outline="0" fieldPosition="0">
        <references count="7">
          <reference field="12" count="1" selected="0">
            <x v="40"/>
          </reference>
          <reference field="13" count="1" selected="0">
            <x v="42"/>
          </reference>
          <reference field="14" count="1" selected="0">
            <x v="10"/>
          </reference>
          <reference field="15" count="1" selected="0">
            <x v="8"/>
          </reference>
          <reference field="16" count="1" selected="0">
            <x v="8"/>
          </reference>
          <reference field="17" count="1">
            <x v="12"/>
          </reference>
          <reference field="31" count="1" selected="0">
            <x v="2"/>
          </reference>
        </references>
      </pivotArea>
    </format>
    <format dxfId="2020">
      <pivotArea dataOnly="0" labelOnly="1" outline="0" fieldPosition="0">
        <references count="7">
          <reference field="12" count="1" selected="0">
            <x v="6"/>
          </reference>
          <reference field="13" count="1" selected="0">
            <x v="33"/>
          </reference>
          <reference field="14" count="1" selected="0">
            <x v="13"/>
          </reference>
          <reference field="15" count="1" selected="0">
            <x v="2"/>
          </reference>
          <reference field="16" count="1" selected="0">
            <x v="9"/>
          </reference>
          <reference field="17" count="1">
            <x v="2"/>
          </reference>
          <reference field="31" count="1" selected="0">
            <x v="3"/>
          </reference>
        </references>
      </pivotArea>
    </format>
    <format dxfId="2019">
      <pivotArea dataOnly="0" labelOnly="1" outline="0" fieldPosition="0">
        <references count="7">
          <reference field="12" count="1" selected="0">
            <x v="29"/>
          </reference>
          <reference field="13" count="1" selected="0">
            <x v="30"/>
          </reference>
          <reference field="14" count="1" selected="0">
            <x v="12"/>
          </reference>
          <reference field="15" count="1" selected="0">
            <x v="3"/>
          </reference>
          <reference field="16" count="1" selected="0">
            <x v="1"/>
          </reference>
          <reference field="17" count="1">
            <x v="11"/>
          </reference>
          <reference field="31" count="1" selected="0">
            <x v="3"/>
          </reference>
        </references>
      </pivotArea>
    </format>
    <format dxfId="2018">
      <pivotArea dataOnly="0" labelOnly="1" outline="0" fieldPosition="0">
        <references count="7">
          <reference field="12" count="1" selected="0">
            <x v="2"/>
          </reference>
          <reference field="13" count="1" selected="0">
            <x v="3"/>
          </reference>
          <reference field="14" count="1" selected="0">
            <x v="3"/>
          </reference>
          <reference field="15" count="1" selected="0">
            <x v="6"/>
          </reference>
          <reference field="16" count="1" selected="0">
            <x v="2"/>
          </reference>
          <reference field="17" count="1">
            <x v="12"/>
          </reference>
          <reference field="31" count="1" selected="0">
            <x v="4"/>
          </reference>
        </references>
      </pivotArea>
    </format>
    <format dxfId="2017">
      <pivotArea dataOnly="0" labelOnly="1" outline="0" fieldPosition="0">
        <references count="7">
          <reference field="12" count="1" selected="0">
            <x v="21"/>
          </reference>
          <reference field="13" count="1" selected="0">
            <x v="17"/>
          </reference>
          <reference field="14" count="1" selected="0">
            <x v="0"/>
          </reference>
          <reference field="15" count="1" selected="0">
            <x v="0"/>
          </reference>
          <reference field="16" count="1" selected="0">
            <x v="0"/>
          </reference>
          <reference field="17" count="1">
            <x v="0"/>
          </reference>
          <reference field="31" count="1" selected="0">
            <x v="4"/>
          </reference>
        </references>
      </pivotArea>
    </format>
    <format dxfId="2016">
      <pivotArea dataOnly="0" labelOnly="1" outline="0" fieldPosition="0">
        <references count="7">
          <reference field="12" count="1" selected="0">
            <x v="38"/>
          </reference>
          <reference field="13" count="1" selected="0">
            <x v="39"/>
          </reference>
          <reference field="14" count="1" selected="0">
            <x v="6"/>
          </reference>
          <reference field="15" count="1" selected="0">
            <x v="14"/>
          </reference>
          <reference field="16" count="1" selected="0">
            <x v="3"/>
          </reference>
          <reference field="17" count="1">
            <x v="4"/>
          </reference>
          <reference field="31" count="1" selected="0">
            <x v="4"/>
          </reference>
        </references>
      </pivotArea>
    </format>
    <format dxfId="2015">
      <pivotArea dataOnly="0" labelOnly="1" outline="0" fieldPosition="0">
        <references count="7">
          <reference field="12" count="1" selected="0">
            <x v="42"/>
          </reference>
          <reference field="13" count="1" selected="0">
            <x v="44"/>
          </reference>
          <reference field="14" count="1" selected="0">
            <x v="0"/>
          </reference>
          <reference field="15" count="1" selected="0">
            <x v="0"/>
          </reference>
          <reference field="16" count="1" selected="0">
            <x v="0"/>
          </reference>
          <reference field="17" count="1">
            <x v="0"/>
          </reference>
          <reference field="31" count="1" selected="0">
            <x v="4"/>
          </reference>
        </references>
      </pivotArea>
    </format>
    <format dxfId="2014">
      <pivotArea dataOnly="0" labelOnly="1" outline="0" fieldPosition="0">
        <references count="7">
          <reference field="12" count="1" selected="0">
            <x v="31"/>
          </reference>
          <reference field="13" count="1" selected="0">
            <x v="14"/>
          </reference>
          <reference field="14" count="1" selected="0">
            <x v="0"/>
          </reference>
          <reference field="15" count="1" selected="0">
            <x v="2"/>
          </reference>
          <reference field="16" count="1" selected="0">
            <x v="4"/>
          </reference>
          <reference field="17" count="1">
            <x v="8"/>
          </reference>
          <reference field="31" count="1" selected="0">
            <x v="5"/>
          </reference>
        </references>
      </pivotArea>
    </format>
    <format dxfId="2013">
      <pivotArea dataOnly="0" labelOnly="1" outline="0" fieldPosition="0">
        <references count="7">
          <reference field="12" count="1" selected="0">
            <x v="32"/>
          </reference>
          <reference field="13" count="1" selected="0">
            <x v="23"/>
          </reference>
          <reference field="14" count="1" selected="0">
            <x v="0"/>
          </reference>
          <reference field="15" count="1" selected="0">
            <x v="13"/>
          </reference>
          <reference field="16" count="1" selected="0">
            <x v="5"/>
          </reference>
          <reference field="17" count="1">
            <x v="6"/>
          </reference>
          <reference field="31" count="1" selected="0">
            <x v="5"/>
          </reference>
        </references>
      </pivotArea>
    </format>
    <format dxfId="2012">
      <pivotArea dataOnly="0" labelOnly="1" outline="0" fieldPosition="0">
        <references count="7">
          <reference field="12" count="1" selected="0">
            <x v="3"/>
          </reference>
          <reference field="13" count="1" selected="0">
            <x v="16"/>
          </reference>
          <reference field="14" count="1" selected="0">
            <x v="9"/>
          </reference>
          <reference field="15" count="1" selected="0">
            <x v="5"/>
          </reference>
          <reference field="16" count="1" selected="0">
            <x v="6"/>
          </reference>
          <reference field="17" count="1">
            <x v="1"/>
          </reference>
          <reference field="31" count="1" selected="0">
            <x v="6"/>
          </reference>
        </references>
      </pivotArea>
    </format>
    <format dxfId="2011">
      <pivotArea dataOnly="0" labelOnly="1" outline="0" fieldPosition="0">
        <references count="7">
          <reference field="12" count="1" selected="0">
            <x v="20"/>
          </reference>
          <reference field="13" count="1" selected="0">
            <x v="35"/>
          </reference>
          <reference field="14" count="1" selected="0">
            <x v="6"/>
          </reference>
          <reference field="15" count="1" selected="0">
            <x v="2"/>
          </reference>
          <reference field="16" count="1" selected="0">
            <x v="3"/>
          </reference>
          <reference field="17" count="1">
            <x v="9"/>
          </reference>
          <reference field="31" count="1" selected="0">
            <x v="7"/>
          </reference>
        </references>
      </pivotArea>
    </format>
    <format dxfId="2010">
      <pivotArea dataOnly="0" labelOnly="1" outline="0" fieldPosition="0">
        <references count="7">
          <reference field="12" count="1" selected="0">
            <x v="24"/>
          </reference>
          <reference field="13" count="1" selected="0">
            <x v="9"/>
          </reference>
          <reference field="14" count="1" selected="0">
            <x v="0"/>
          </reference>
          <reference field="15" count="1" selected="0">
            <x v="0"/>
          </reference>
          <reference field="16" count="1" selected="0">
            <x v="0"/>
          </reference>
          <reference field="17" count="1">
            <x v="0"/>
          </reference>
          <reference field="31" count="1" selected="0">
            <x v="8"/>
          </reference>
        </references>
      </pivotArea>
    </format>
    <format dxfId="2009">
      <pivotArea dataOnly="0" labelOnly="1" outline="0" fieldPosition="0">
        <references count="8">
          <reference field="12" count="1" selected="0">
            <x v="33"/>
          </reference>
          <reference field="13" count="1" selected="0">
            <x v="2"/>
          </reference>
          <reference field="14" count="1" selected="0">
            <x v="0"/>
          </reference>
          <reference field="15" count="1" selected="0">
            <x v="0"/>
          </reference>
          <reference field="16" count="1" selected="0">
            <x v="0"/>
          </reference>
          <reference field="17" count="1" selected="0">
            <x v="0"/>
          </reference>
          <reference field="19" count="1">
            <x v="0"/>
          </reference>
          <reference field="31" count="1" selected="0">
            <x v="0"/>
          </reference>
        </references>
      </pivotArea>
    </format>
    <format dxfId="2008">
      <pivotArea dataOnly="0" labelOnly="1" outline="0" fieldPosition="0">
        <references count="8">
          <reference field="12" count="1" selected="0">
            <x v="9"/>
          </reference>
          <reference field="13" count="1" selected="0">
            <x v="26"/>
          </reference>
          <reference field="14" count="1" selected="0">
            <x v="2"/>
          </reference>
          <reference field="15" count="1" selected="0">
            <x v="2"/>
          </reference>
          <reference field="16" count="1" selected="0">
            <x v="10"/>
          </reference>
          <reference field="17" count="1" selected="0">
            <x v="7"/>
          </reference>
          <reference field="19" count="1">
            <x v="11"/>
          </reference>
          <reference field="31" count="1" selected="0">
            <x v="1"/>
          </reference>
        </references>
      </pivotArea>
    </format>
    <format dxfId="2007">
      <pivotArea dataOnly="0" labelOnly="1" outline="0" fieldPosition="0">
        <references count="8">
          <reference field="12" count="1" selected="0">
            <x v="10"/>
          </reference>
          <reference field="13" count="1" selected="0">
            <x v="27"/>
          </reference>
          <reference field="14" count="1" selected="0">
            <x v="2"/>
          </reference>
          <reference field="15" count="1" selected="0">
            <x v="1"/>
          </reference>
          <reference field="16" count="1" selected="0">
            <x v="7"/>
          </reference>
          <reference field="17" count="1" selected="0">
            <x v="7"/>
          </reference>
          <reference field="19" count="1">
            <x v="1"/>
          </reference>
          <reference field="31" count="1" selected="0">
            <x v="1"/>
          </reference>
        </references>
      </pivotArea>
    </format>
    <format dxfId="2006">
      <pivotArea dataOnly="0" labelOnly="1" outline="0" fieldPosition="0">
        <references count="8">
          <reference field="12" count="1" selected="0">
            <x v="11"/>
          </reference>
          <reference field="13" count="1" selected="0">
            <x v="21"/>
          </reference>
          <reference field="14" count="1" selected="0">
            <x v="4"/>
          </reference>
          <reference field="15" count="1" selected="0">
            <x v="4"/>
          </reference>
          <reference field="16" count="1" selected="0">
            <x v="0"/>
          </reference>
          <reference field="17" count="1" selected="0">
            <x v="3"/>
          </reference>
          <reference field="19" count="1">
            <x v="4"/>
          </reference>
          <reference field="31" count="1" selected="0">
            <x v="1"/>
          </reference>
        </references>
      </pivotArea>
    </format>
    <format dxfId="2005">
      <pivotArea dataOnly="0" labelOnly="1" outline="0" fieldPosition="0">
        <references count="8">
          <reference field="12" count="1" selected="0">
            <x v="12"/>
          </reference>
          <reference field="13" count="1" selected="0">
            <x v="28"/>
          </reference>
          <reference field="14" count="1" selected="0">
            <x v="1"/>
          </reference>
          <reference field="15" count="1" selected="0">
            <x v="1"/>
          </reference>
          <reference field="16" count="1" selected="0">
            <x v="7"/>
          </reference>
          <reference field="17" count="1" selected="0">
            <x v="11"/>
          </reference>
          <reference field="19" count="1">
            <x v="2"/>
          </reference>
          <reference field="31" count="1" selected="0">
            <x v="1"/>
          </reference>
        </references>
      </pivotArea>
    </format>
    <format dxfId="2004">
      <pivotArea dataOnly="0" labelOnly="1" outline="0" fieldPosition="0">
        <references count="8">
          <reference field="12" count="1" selected="0">
            <x v="18"/>
          </reference>
          <reference field="13" count="1" selected="0">
            <x v="24"/>
          </reference>
          <reference field="14" count="1" selected="0">
            <x v="4"/>
          </reference>
          <reference field="15" count="1" selected="0">
            <x v="4"/>
          </reference>
          <reference field="16" count="1" selected="0">
            <x v="0"/>
          </reference>
          <reference field="17" count="1" selected="0">
            <x v="3"/>
          </reference>
          <reference field="19" count="1">
            <x v="4"/>
          </reference>
          <reference field="31" count="1" selected="0">
            <x v="1"/>
          </reference>
        </references>
      </pivotArea>
    </format>
    <format dxfId="2003">
      <pivotArea dataOnly="0" labelOnly="1" outline="0" fieldPosition="0">
        <references count="8">
          <reference field="12" count="1" selected="0">
            <x v="0"/>
          </reference>
          <reference field="13" count="1" selected="0">
            <x v="10"/>
          </reference>
          <reference field="14" count="1" selected="0">
            <x v="10"/>
          </reference>
          <reference field="15" count="1" selected="0">
            <x v="8"/>
          </reference>
          <reference field="16" count="1" selected="0">
            <x v="8"/>
          </reference>
          <reference field="17" count="1" selected="0">
            <x v="12"/>
          </reference>
          <reference field="19" count="1">
            <x v="14"/>
          </reference>
          <reference field="31" count="1" selected="0">
            <x v="2"/>
          </reference>
        </references>
      </pivotArea>
    </format>
    <format dxfId="2002">
      <pivotArea dataOnly="0" labelOnly="1" outline="0" fieldPosition="0">
        <references count="8">
          <reference field="12" count="1" selected="0">
            <x v="15"/>
          </reference>
          <reference field="13" count="1" selected="0">
            <x v="34"/>
          </reference>
          <reference field="14" count="1" selected="0">
            <x v="8"/>
          </reference>
          <reference field="15" count="1" selected="0">
            <x v="10"/>
          </reference>
          <reference field="16" count="1" selected="0">
            <x v="7"/>
          </reference>
          <reference field="17" count="1" selected="0">
            <x v="0"/>
          </reference>
          <reference field="19" count="1">
            <x v="7"/>
          </reference>
          <reference field="31" count="1" selected="0">
            <x v="2"/>
          </reference>
        </references>
      </pivotArea>
    </format>
    <format dxfId="2001">
      <pivotArea dataOnly="0" labelOnly="1" outline="0" fieldPosition="0">
        <references count="8">
          <reference field="12" count="1" selected="0">
            <x v="16"/>
          </reference>
          <reference field="13" count="1" selected="0">
            <x v="5"/>
          </reference>
          <reference field="14" count="1" selected="0">
            <x v="7"/>
          </reference>
          <reference field="15" count="1" selected="0">
            <x v="12"/>
          </reference>
          <reference field="16" count="1" selected="0">
            <x v="1"/>
          </reference>
          <reference field="17" count="1" selected="0">
            <x v="5"/>
          </reference>
          <reference field="19" count="1">
            <x v="14"/>
          </reference>
          <reference field="31" count="1" selected="0">
            <x v="2"/>
          </reference>
        </references>
      </pivotArea>
    </format>
    <format dxfId="2000">
      <pivotArea dataOnly="0" labelOnly="1" outline="0" fieldPosition="0">
        <references count="8">
          <reference field="12" count="1" selected="0">
            <x v="25"/>
          </reference>
          <reference field="13" count="1" selected="0">
            <x v="12"/>
          </reference>
          <reference field="14" count="1" selected="0">
            <x v="12"/>
          </reference>
          <reference field="15" count="1" selected="0">
            <x v="11"/>
          </reference>
          <reference field="16" count="1" selected="0">
            <x v="6"/>
          </reference>
          <reference field="17" count="1" selected="0">
            <x v="10"/>
          </reference>
          <reference field="19" count="1">
            <x v="8"/>
          </reference>
          <reference field="31" count="1" selected="0">
            <x v="2"/>
          </reference>
        </references>
      </pivotArea>
    </format>
    <format dxfId="1999">
      <pivotArea dataOnly="0" labelOnly="1" outline="0" fieldPosition="0">
        <references count="8">
          <reference field="12" count="1" selected="0">
            <x v="27"/>
          </reference>
          <reference field="13" count="1" selected="0">
            <x v="48"/>
          </reference>
          <reference field="14" count="1" selected="0">
            <x v="6"/>
          </reference>
          <reference field="15" count="1" selected="0">
            <x v="7"/>
          </reference>
          <reference field="16" count="1" selected="0">
            <x v="8"/>
          </reference>
          <reference field="17" count="1" selected="0">
            <x v="12"/>
          </reference>
          <reference field="19" count="1">
            <x v="14"/>
          </reference>
          <reference field="31" count="1" selected="0">
            <x v="2"/>
          </reference>
        </references>
      </pivotArea>
    </format>
    <format dxfId="1998">
      <pivotArea dataOnly="0" labelOnly="1" outline="0" fieldPosition="0">
        <references count="8">
          <reference field="12" count="1" selected="0">
            <x v="28"/>
          </reference>
          <reference field="13" count="1" selected="0">
            <x v="32"/>
          </reference>
          <reference field="14" count="1" selected="0">
            <x v="11"/>
          </reference>
          <reference field="15" count="1" selected="0">
            <x v="6"/>
          </reference>
          <reference field="16" count="1" selected="0">
            <x v="7"/>
          </reference>
          <reference field="17" count="1" selected="0">
            <x v="10"/>
          </reference>
          <reference field="19" count="1">
            <x v="10"/>
          </reference>
          <reference field="31" count="1" selected="0">
            <x v="2"/>
          </reference>
        </references>
      </pivotArea>
    </format>
    <format dxfId="1997">
      <pivotArea dataOnly="0" labelOnly="1" outline="0" fieldPosition="0">
        <references count="8">
          <reference field="12" count="1" selected="0">
            <x v="36"/>
          </reference>
          <reference field="13" count="1" selected="0">
            <x v="37"/>
          </reference>
          <reference field="14" count="1" selected="0">
            <x v="5"/>
          </reference>
          <reference field="15" count="1" selected="0">
            <x v="8"/>
          </reference>
          <reference field="16" count="1" selected="0">
            <x v="11"/>
          </reference>
          <reference field="17" count="1" selected="0">
            <x v="4"/>
          </reference>
          <reference field="19" count="1">
            <x v="15"/>
          </reference>
          <reference field="31" count="1" selected="0">
            <x v="2"/>
          </reference>
        </references>
      </pivotArea>
    </format>
    <format dxfId="1996">
      <pivotArea dataOnly="0" labelOnly="1" outline="0" fieldPosition="0">
        <references count="8">
          <reference field="12" count="1" selected="0">
            <x v="40"/>
          </reference>
          <reference field="13" count="1" selected="0">
            <x v="42"/>
          </reference>
          <reference field="14" count="1" selected="0">
            <x v="10"/>
          </reference>
          <reference field="15" count="1" selected="0">
            <x v="8"/>
          </reference>
          <reference field="16" count="1" selected="0">
            <x v="8"/>
          </reference>
          <reference field="17" count="1" selected="0">
            <x v="12"/>
          </reference>
          <reference field="19" count="1">
            <x v="14"/>
          </reference>
          <reference field="31" count="1" selected="0">
            <x v="2"/>
          </reference>
        </references>
      </pivotArea>
    </format>
    <format dxfId="1995">
      <pivotArea dataOnly="0" labelOnly="1" outline="0" fieldPosition="0">
        <references count="8">
          <reference field="12" count="1" selected="0">
            <x v="6"/>
          </reference>
          <reference field="13" count="1" selected="0">
            <x v="33"/>
          </reference>
          <reference field="14" count="1" selected="0">
            <x v="13"/>
          </reference>
          <reference field="15" count="1" selected="0">
            <x v="2"/>
          </reference>
          <reference field="16" count="1" selected="0">
            <x v="9"/>
          </reference>
          <reference field="17" count="1" selected="0">
            <x v="2"/>
          </reference>
          <reference field="19" count="1">
            <x v="5"/>
          </reference>
          <reference field="31" count="1" selected="0">
            <x v="3"/>
          </reference>
        </references>
      </pivotArea>
    </format>
    <format dxfId="1994">
      <pivotArea dataOnly="0" labelOnly="1" outline="0" fieldPosition="0">
        <references count="8">
          <reference field="12" count="1" selected="0">
            <x v="29"/>
          </reference>
          <reference field="13" count="1" selected="0">
            <x v="30"/>
          </reference>
          <reference field="14" count="1" selected="0">
            <x v="12"/>
          </reference>
          <reference field="15" count="1" selected="0">
            <x v="3"/>
          </reference>
          <reference field="16" count="1" selected="0">
            <x v="1"/>
          </reference>
          <reference field="17" count="1" selected="0">
            <x v="11"/>
          </reference>
          <reference field="19" count="1">
            <x v="8"/>
          </reference>
          <reference field="31" count="1" selected="0">
            <x v="3"/>
          </reference>
        </references>
      </pivotArea>
    </format>
    <format dxfId="1993">
      <pivotArea dataOnly="0" labelOnly="1" outline="0" fieldPosition="0">
        <references count="8">
          <reference field="12" count="1" selected="0">
            <x v="2"/>
          </reference>
          <reference field="13" count="1" selected="0">
            <x v="3"/>
          </reference>
          <reference field="14" count="1" selected="0">
            <x v="3"/>
          </reference>
          <reference field="15" count="1" selected="0">
            <x v="6"/>
          </reference>
          <reference field="16" count="1" selected="0">
            <x v="2"/>
          </reference>
          <reference field="17" count="1" selected="0">
            <x v="12"/>
          </reference>
          <reference field="19" count="1">
            <x v="13"/>
          </reference>
          <reference field="31" count="1" selected="0">
            <x v="4"/>
          </reference>
        </references>
      </pivotArea>
    </format>
    <format dxfId="1992">
      <pivotArea dataOnly="0" labelOnly="1" outline="0" fieldPosition="0">
        <references count="8">
          <reference field="12" count="1" selected="0">
            <x v="21"/>
          </reference>
          <reference field="13" count="1" selected="0">
            <x v="17"/>
          </reference>
          <reference field="14" count="1" selected="0">
            <x v="0"/>
          </reference>
          <reference field="15" count="1" selected="0">
            <x v="0"/>
          </reference>
          <reference field="16" count="1" selected="0">
            <x v="0"/>
          </reference>
          <reference field="17" count="1" selected="0">
            <x v="0"/>
          </reference>
          <reference field="19" count="1">
            <x v="14"/>
          </reference>
          <reference field="31" count="1" selected="0">
            <x v="4"/>
          </reference>
        </references>
      </pivotArea>
    </format>
    <format dxfId="1991">
      <pivotArea dataOnly="0" labelOnly="1" outline="0" fieldPosition="0">
        <references count="8">
          <reference field="12" count="1" selected="0">
            <x v="38"/>
          </reference>
          <reference field="13" count="1" selected="0">
            <x v="39"/>
          </reference>
          <reference field="14" count="1" selected="0">
            <x v="6"/>
          </reference>
          <reference field="15" count="1" selected="0">
            <x v="14"/>
          </reference>
          <reference field="16" count="1" selected="0">
            <x v="3"/>
          </reference>
          <reference field="17" count="1" selected="0">
            <x v="4"/>
          </reference>
          <reference field="19" count="1">
            <x v="3"/>
          </reference>
          <reference field="31" count="1" selected="0">
            <x v="4"/>
          </reference>
        </references>
      </pivotArea>
    </format>
    <format dxfId="1990">
      <pivotArea dataOnly="0" labelOnly="1" outline="0" fieldPosition="0">
        <references count="8">
          <reference field="12" count="1" selected="0">
            <x v="42"/>
          </reference>
          <reference field="13" count="1" selected="0">
            <x v="44"/>
          </reference>
          <reference field="14" count="1" selected="0">
            <x v="0"/>
          </reference>
          <reference field="15" count="1" selected="0">
            <x v="0"/>
          </reference>
          <reference field="16" count="1" selected="0">
            <x v="0"/>
          </reference>
          <reference field="17" count="1" selected="0">
            <x v="0"/>
          </reference>
          <reference field="19" count="1">
            <x v="0"/>
          </reference>
          <reference field="31" count="1" selected="0">
            <x v="4"/>
          </reference>
        </references>
      </pivotArea>
    </format>
    <format dxfId="1989">
      <pivotArea dataOnly="0" labelOnly="1" outline="0" fieldPosition="0">
        <references count="8">
          <reference field="12" count="1" selected="0">
            <x v="31"/>
          </reference>
          <reference field="13" count="1" selected="0">
            <x v="14"/>
          </reference>
          <reference field="14" count="1" selected="0">
            <x v="0"/>
          </reference>
          <reference field="15" count="1" selected="0">
            <x v="2"/>
          </reference>
          <reference field="16" count="1" selected="0">
            <x v="4"/>
          </reference>
          <reference field="17" count="1" selected="0">
            <x v="8"/>
          </reference>
          <reference field="19" count="1">
            <x v="12"/>
          </reference>
          <reference field="31" count="1" selected="0">
            <x v="5"/>
          </reference>
        </references>
      </pivotArea>
    </format>
    <format dxfId="1988">
      <pivotArea dataOnly="0" labelOnly="1" outline="0" fieldPosition="0">
        <references count="8">
          <reference field="12" count="1" selected="0">
            <x v="32"/>
          </reference>
          <reference field="13" count="1" selected="0">
            <x v="23"/>
          </reference>
          <reference field="14" count="1" selected="0">
            <x v="0"/>
          </reference>
          <reference field="15" count="1" selected="0">
            <x v="13"/>
          </reference>
          <reference field="16" count="1" selected="0">
            <x v="5"/>
          </reference>
          <reference field="17" count="1" selected="0">
            <x v="6"/>
          </reference>
          <reference field="19" count="1">
            <x v="9"/>
          </reference>
          <reference field="31" count="1" selected="0">
            <x v="5"/>
          </reference>
        </references>
      </pivotArea>
    </format>
    <format dxfId="1987">
      <pivotArea dataOnly="0" labelOnly="1" outline="0" fieldPosition="0">
        <references count="8">
          <reference field="12" count="1" selected="0">
            <x v="3"/>
          </reference>
          <reference field="13" count="1" selected="0">
            <x v="16"/>
          </reference>
          <reference field="14" count="1" selected="0">
            <x v="9"/>
          </reference>
          <reference field="15" count="1" selected="0">
            <x v="5"/>
          </reference>
          <reference field="16" count="1" selected="0">
            <x v="6"/>
          </reference>
          <reference field="17" count="1" selected="0">
            <x v="1"/>
          </reference>
          <reference field="19" count="1">
            <x v="6"/>
          </reference>
          <reference field="31" count="1" selected="0">
            <x v="6"/>
          </reference>
        </references>
      </pivotArea>
    </format>
    <format dxfId="1986">
      <pivotArea dataOnly="0" labelOnly="1" outline="0" fieldPosition="0">
        <references count="8">
          <reference field="12" count="1" selected="0">
            <x v="20"/>
          </reference>
          <reference field="13" count="1" selected="0">
            <x v="35"/>
          </reference>
          <reference field="14" count="1" selected="0">
            <x v="6"/>
          </reference>
          <reference field="15" count="1" selected="0">
            <x v="2"/>
          </reference>
          <reference field="16" count="1" selected="0">
            <x v="3"/>
          </reference>
          <reference field="17" count="1" selected="0">
            <x v="9"/>
          </reference>
          <reference field="19" count="1">
            <x v="3"/>
          </reference>
          <reference field="31" count="1" selected="0">
            <x v="7"/>
          </reference>
        </references>
      </pivotArea>
    </format>
    <format dxfId="1985">
      <pivotArea dataOnly="0" labelOnly="1" outline="0" fieldPosition="0">
        <references count="8">
          <reference field="12" count="1" selected="0">
            <x v="24"/>
          </reference>
          <reference field="13" count="1" selected="0">
            <x v="9"/>
          </reference>
          <reference field="14" count="1" selected="0">
            <x v="0"/>
          </reference>
          <reference field="15" count="1" selected="0">
            <x v="0"/>
          </reference>
          <reference field="16" count="1" selected="0">
            <x v="0"/>
          </reference>
          <reference field="17" count="1" selected="0">
            <x v="0"/>
          </reference>
          <reference field="19" count="1">
            <x v="14"/>
          </reference>
          <reference field="31" count="1" selected="0">
            <x v="8"/>
          </reference>
        </references>
      </pivotArea>
    </format>
    <format dxfId="1984">
      <pivotArea dataOnly="0" labelOnly="1" outline="0" fieldPosition="0">
        <references count="9">
          <reference field="10" count="1">
            <x v="0"/>
          </reference>
          <reference field="12" count="1" selected="0">
            <x v="33"/>
          </reference>
          <reference field="13" count="1" selected="0">
            <x v="2"/>
          </reference>
          <reference field="14" count="1" selected="0">
            <x v="0"/>
          </reference>
          <reference field="15" count="1" selected="0">
            <x v="0"/>
          </reference>
          <reference field="16" count="1" selected="0">
            <x v="0"/>
          </reference>
          <reference field="17" count="1" selected="0">
            <x v="0"/>
          </reference>
          <reference field="19" count="1" selected="0">
            <x v="0"/>
          </reference>
          <reference field="31" count="1" selected="0">
            <x v="0"/>
          </reference>
        </references>
      </pivotArea>
    </format>
    <format dxfId="1983">
      <pivotArea dataOnly="0" labelOnly="1" outline="0" fieldPosition="0">
        <references count="9">
          <reference field="10" count="0"/>
          <reference field="12" count="1" selected="0">
            <x v="34"/>
          </reference>
          <reference field="13" count="1" selected="0">
            <x v="18"/>
          </reference>
          <reference field="14" count="1" selected="0">
            <x v="0"/>
          </reference>
          <reference field="15" count="1" selected="0">
            <x v="0"/>
          </reference>
          <reference field="16" count="1" selected="0">
            <x v="0"/>
          </reference>
          <reference field="17" count="1" selected="0">
            <x v="0"/>
          </reference>
          <reference field="19" count="1" selected="0">
            <x v="0"/>
          </reference>
          <reference field="31" count="1" selected="0">
            <x v="0"/>
          </reference>
        </references>
      </pivotArea>
    </format>
    <format dxfId="1982">
      <pivotArea dataOnly="0" labelOnly="1" outline="0" fieldPosition="0">
        <references count="9">
          <reference field="10" count="1">
            <x v="2"/>
          </reference>
          <reference field="12" count="1" selected="0">
            <x v="39"/>
          </reference>
          <reference field="13" count="1" selected="0">
            <x v="40"/>
          </reference>
          <reference field="14" count="1" selected="0">
            <x v="0"/>
          </reference>
          <reference field="15" count="1" selected="0">
            <x v="0"/>
          </reference>
          <reference field="16" count="1" selected="0">
            <x v="0"/>
          </reference>
          <reference field="17" count="1" selected="0">
            <x v="0"/>
          </reference>
          <reference field="19" count="1" selected="0">
            <x v="0"/>
          </reference>
          <reference field="31" count="1" selected="0">
            <x v="0"/>
          </reference>
        </references>
      </pivotArea>
    </format>
    <format dxfId="1981">
      <pivotArea dataOnly="0" labelOnly="1" outline="0" fieldPosition="0">
        <references count="9">
          <reference field="10" count="1">
            <x v="0"/>
          </reference>
          <reference field="12" count="1" selected="0">
            <x v="9"/>
          </reference>
          <reference field="13" count="1" selected="0">
            <x v="26"/>
          </reference>
          <reference field="14" count="1" selected="0">
            <x v="2"/>
          </reference>
          <reference field="15" count="1" selected="0">
            <x v="2"/>
          </reference>
          <reference field="16" count="1" selected="0">
            <x v="10"/>
          </reference>
          <reference field="17" count="1" selected="0">
            <x v="7"/>
          </reference>
          <reference field="19" count="1" selected="0">
            <x v="11"/>
          </reference>
          <reference field="31" count="1" selected="0">
            <x v="1"/>
          </reference>
        </references>
      </pivotArea>
    </format>
    <format dxfId="1980">
      <pivotArea dataOnly="0" labelOnly="1" outline="0" fieldPosition="0">
        <references count="9">
          <reference field="10" count="1">
            <x v="0"/>
          </reference>
          <reference field="12" count="1" selected="0">
            <x v="10"/>
          </reference>
          <reference field="13" count="1" selected="0">
            <x v="27"/>
          </reference>
          <reference field="14" count="1" selected="0">
            <x v="2"/>
          </reference>
          <reference field="15" count="1" selected="0">
            <x v="1"/>
          </reference>
          <reference field="16" count="1" selected="0">
            <x v="7"/>
          </reference>
          <reference field="17" count="1" selected="0">
            <x v="7"/>
          </reference>
          <reference field="19" count="1" selected="0">
            <x v="1"/>
          </reference>
          <reference field="31" count="1" selected="0">
            <x v="1"/>
          </reference>
        </references>
      </pivotArea>
    </format>
    <format dxfId="1979">
      <pivotArea dataOnly="0" labelOnly="1" outline="0" fieldPosition="0">
        <references count="9">
          <reference field="10" count="1">
            <x v="0"/>
          </reference>
          <reference field="12" count="1" selected="0">
            <x v="11"/>
          </reference>
          <reference field="13" count="1" selected="0">
            <x v="21"/>
          </reference>
          <reference field="14" count="1" selected="0">
            <x v="4"/>
          </reference>
          <reference field="15" count="1" selected="0">
            <x v="4"/>
          </reference>
          <reference field="16" count="1" selected="0">
            <x v="0"/>
          </reference>
          <reference field="17" count="1" selected="0">
            <x v="3"/>
          </reference>
          <reference field="19" count="1" selected="0">
            <x v="4"/>
          </reference>
          <reference field="31" count="1" selected="0">
            <x v="1"/>
          </reference>
        </references>
      </pivotArea>
    </format>
    <format dxfId="1978">
      <pivotArea dataOnly="0" labelOnly="1" outline="0" fieldPosition="0">
        <references count="9">
          <reference field="10" count="1">
            <x v="0"/>
          </reference>
          <reference field="12" count="1" selected="0">
            <x v="12"/>
          </reference>
          <reference field="13" count="1" selected="0">
            <x v="28"/>
          </reference>
          <reference field="14" count="1" selected="0">
            <x v="1"/>
          </reference>
          <reference field="15" count="1" selected="0">
            <x v="1"/>
          </reference>
          <reference field="16" count="1" selected="0">
            <x v="7"/>
          </reference>
          <reference field="17" count="1" selected="0">
            <x v="11"/>
          </reference>
          <reference field="19" count="1" selected="0">
            <x v="2"/>
          </reference>
          <reference field="31" count="1" selected="0">
            <x v="1"/>
          </reference>
        </references>
      </pivotArea>
    </format>
    <format dxfId="1977">
      <pivotArea dataOnly="0" labelOnly="1" outline="0" fieldPosition="0">
        <references count="9">
          <reference field="10" count="1">
            <x v="0"/>
          </reference>
          <reference field="12" count="1" selected="0">
            <x v="18"/>
          </reference>
          <reference field="13" count="1" selected="0">
            <x v="24"/>
          </reference>
          <reference field="14" count="1" selected="0">
            <x v="4"/>
          </reference>
          <reference field="15" count="1" selected="0">
            <x v="4"/>
          </reference>
          <reference field="16" count="1" selected="0">
            <x v="0"/>
          </reference>
          <reference field="17" count="1" selected="0">
            <x v="3"/>
          </reference>
          <reference field="19" count="1" selected="0">
            <x v="4"/>
          </reference>
          <reference field="31" count="1" selected="0">
            <x v="1"/>
          </reference>
        </references>
      </pivotArea>
    </format>
    <format dxfId="1976">
      <pivotArea dataOnly="0" labelOnly="1" outline="0" fieldPosition="0">
        <references count="9">
          <reference field="10" count="1">
            <x v="0"/>
          </reference>
          <reference field="12" count="1" selected="0">
            <x v="19"/>
          </reference>
          <reference field="13" count="1" selected="0">
            <x v="22"/>
          </reference>
          <reference field="14" count="1" selected="0">
            <x v="4"/>
          </reference>
          <reference field="15" count="1" selected="0">
            <x v="4"/>
          </reference>
          <reference field="16" count="1" selected="0">
            <x v="0"/>
          </reference>
          <reference field="17" count="1" selected="0">
            <x v="3"/>
          </reference>
          <reference field="19" count="1" selected="0">
            <x v="4"/>
          </reference>
          <reference field="31" count="1" selected="0">
            <x v="1"/>
          </reference>
        </references>
      </pivotArea>
    </format>
    <format dxfId="1975">
      <pivotArea dataOnly="0" labelOnly="1" outline="0" fieldPosition="0">
        <references count="9">
          <reference field="10" count="1">
            <x v="0"/>
          </reference>
          <reference field="12" count="1" selected="0">
            <x v="0"/>
          </reference>
          <reference field="13" count="1" selected="0">
            <x v="10"/>
          </reference>
          <reference field="14" count="1" selected="0">
            <x v="10"/>
          </reference>
          <reference field="15" count="1" selected="0">
            <x v="8"/>
          </reference>
          <reference field="16" count="1" selected="0">
            <x v="8"/>
          </reference>
          <reference field="17" count="1" selected="0">
            <x v="12"/>
          </reference>
          <reference field="19" count="1" selected="0">
            <x v="14"/>
          </reference>
          <reference field="31" count="1" selected="0">
            <x v="2"/>
          </reference>
        </references>
      </pivotArea>
    </format>
    <format dxfId="1974">
      <pivotArea dataOnly="0" labelOnly="1" outline="0" fieldPosition="0">
        <references count="9">
          <reference field="10" count="1">
            <x v="0"/>
          </reference>
          <reference field="12" count="1" selected="0">
            <x v="1"/>
          </reference>
          <reference field="13" count="1" selected="0">
            <x v="25"/>
          </reference>
          <reference field="14" count="1" selected="0">
            <x v="10"/>
          </reference>
          <reference field="15" count="1" selected="0">
            <x v="8"/>
          </reference>
          <reference field="16" count="1" selected="0">
            <x v="8"/>
          </reference>
          <reference field="17" count="1" selected="0">
            <x v="12"/>
          </reference>
          <reference field="19" count="1" selected="0">
            <x v="14"/>
          </reference>
          <reference field="31" count="1" selected="0">
            <x v="2"/>
          </reference>
        </references>
      </pivotArea>
    </format>
    <format dxfId="1973">
      <pivotArea dataOnly="0" labelOnly="1" outline="0" fieldPosition="0">
        <references count="9">
          <reference field="10" count="1">
            <x v="0"/>
          </reference>
          <reference field="12" count="1" selected="0">
            <x v="5"/>
          </reference>
          <reference field="13" count="1" selected="0">
            <x v="46"/>
          </reference>
          <reference field="14" count="1" selected="0">
            <x v="10"/>
          </reference>
          <reference field="15" count="1" selected="0">
            <x v="8"/>
          </reference>
          <reference field="16" count="1" selected="0">
            <x v="8"/>
          </reference>
          <reference field="17" count="1" selected="0">
            <x v="12"/>
          </reference>
          <reference field="19" count="1" selected="0">
            <x v="14"/>
          </reference>
          <reference field="31" count="1" selected="0">
            <x v="2"/>
          </reference>
        </references>
      </pivotArea>
    </format>
    <format dxfId="1972">
      <pivotArea dataOnly="0" labelOnly="1" outline="0" fieldPosition="0">
        <references count="9">
          <reference field="10" count="1">
            <x v="0"/>
          </reference>
          <reference field="12" count="1" selected="0">
            <x v="8"/>
          </reference>
          <reference field="13" count="1" selected="0">
            <x v="47"/>
          </reference>
          <reference field="14" count="1" selected="0">
            <x v="10"/>
          </reference>
          <reference field="15" count="1" selected="0">
            <x v="8"/>
          </reference>
          <reference field="16" count="1" selected="0">
            <x v="8"/>
          </reference>
          <reference field="17" count="1" selected="0">
            <x v="12"/>
          </reference>
          <reference field="19" count="1" selected="0">
            <x v="14"/>
          </reference>
          <reference field="31" count="1" selected="0">
            <x v="2"/>
          </reference>
        </references>
      </pivotArea>
    </format>
    <format dxfId="1971">
      <pivotArea dataOnly="0" labelOnly="1" outline="0" fieldPosition="0">
        <references count="9">
          <reference field="10" count="1">
            <x v="0"/>
          </reference>
          <reference field="12" count="1" selected="0">
            <x v="13"/>
          </reference>
          <reference field="13" count="1" selected="0">
            <x v="4"/>
          </reference>
          <reference field="14" count="1" selected="0">
            <x v="7"/>
          </reference>
          <reference field="15" count="1" selected="0">
            <x v="12"/>
          </reference>
          <reference field="16" count="1" selected="0">
            <x v="1"/>
          </reference>
          <reference field="17" count="1" selected="0">
            <x v="5"/>
          </reference>
          <reference field="19" count="1" selected="0">
            <x v="14"/>
          </reference>
          <reference field="31" count="1" selected="0">
            <x v="2"/>
          </reference>
        </references>
      </pivotArea>
    </format>
    <format dxfId="1970">
      <pivotArea dataOnly="0" labelOnly="1" outline="0" fieldPosition="0">
        <references count="9">
          <reference field="10" count="1">
            <x v="0"/>
          </reference>
          <reference field="12" count="1" selected="0">
            <x v="15"/>
          </reference>
          <reference field="13" count="1" selected="0">
            <x v="34"/>
          </reference>
          <reference field="14" count="1" selected="0">
            <x v="8"/>
          </reference>
          <reference field="15" count="1" selected="0">
            <x v="10"/>
          </reference>
          <reference field="16" count="1" selected="0">
            <x v="7"/>
          </reference>
          <reference field="17" count="1" selected="0">
            <x v="0"/>
          </reference>
          <reference field="19" count="1" selected="0">
            <x v="7"/>
          </reference>
          <reference field="31" count="1" selected="0">
            <x v="2"/>
          </reference>
        </references>
      </pivotArea>
    </format>
    <format dxfId="1969">
      <pivotArea dataOnly="0" labelOnly="1" outline="0" fieldPosition="0">
        <references count="9">
          <reference field="10" count="1">
            <x v="0"/>
          </reference>
          <reference field="12" count="1" selected="0">
            <x v="16"/>
          </reference>
          <reference field="13" count="1" selected="0">
            <x v="5"/>
          </reference>
          <reference field="14" count="1" selected="0">
            <x v="7"/>
          </reference>
          <reference field="15" count="1" selected="0">
            <x v="12"/>
          </reference>
          <reference field="16" count="1" selected="0">
            <x v="1"/>
          </reference>
          <reference field="17" count="1" selected="0">
            <x v="5"/>
          </reference>
          <reference field="19" count="1" selected="0">
            <x v="14"/>
          </reference>
          <reference field="31" count="1" selected="0">
            <x v="2"/>
          </reference>
        </references>
      </pivotArea>
    </format>
    <format dxfId="1968">
      <pivotArea dataOnly="0" labelOnly="1" outline="0" fieldPosition="0">
        <references count="9">
          <reference field="10" count="1">
            <x v="0"/>
          </reference>
          <reference field="12" count="1" selected="0">
            <x v="17"/>
          </reference>
          <reference field="13" count="1" selected="0">
            <x v="20"/>
          </reference>
          <reference field="14" count="1" selected="0">
            <x v="5"/>
          </reference>
          <reference field="15" count="1" selected="0">
            <x v="9"/>
          </reference>
          <reference field="16" count="1" selected="0">
            <x v="1"/>
          </reference>
          <reference field="17" count="1" selected="0">
            <x v="4"/>
          </reference>
          <reference field="19" count="1" selected="0">
            <x v="14"/>
          </reference>
          <reference field="31" count="1" selected="0">
            <x v="2"/>
          </reference>
        </references>
      </pivotArea>
    </format>
    <format dxfId="1967">
      <pivotArea dataOnly="0" labelOnly="1" outline="0" fieldPosition="0">
        <references count="9">
          <reference field="10" count="1">
            <x v="0"/>
          </reference>
          <reference field="12" count="1" selected="0">
            <x v="22"/>
          </reference>
          <reference field="13" count="1" selected="0">
            <x v="1"/>
          </reference>
          <reference field="14" count="1" selected="0">
            <x v="7"/>
          </reference>
          <reference field="15" count="1" selected="0">
            <x v="0"/>
          </reference>
          <reference field="16" count="1" selected="0">
            <x v="0"/>
          </reference>
          <reference field="17" count="1" selected="0">
            <x v="0"/>
          </reference>
          <reference field="19" count="1" selected="0">
            <x v="14"/>
          </reference>
          <reference field="31" count="1" selected="0">
            <x v="2"/>
          </reference>
        </references>
      </pivotArea>
    </format>
    <format dxfId="1966">
      <pivotArea dataOnly="0" labelOnly="1" outline="0" fieldPosition="0">
        <references count="9">
          <reference field="10" count="1">
            <x v="0"/>
          </reference>
          <reference field="12" count="1" selected="0">
            <x v="25"/>
          </reference>
          <reference field="13" count="1" selected="0">
            <x v="12"/>
          </reference>
          <reference field="14" count="1" selected="0">
            <x v="12"/>
          </reference>
          <reference field="15" count="1" selected="0">
            <x v="11"/>
          </reference>
          <reference field="16" count="1" selected="0">
            <x v="6"/>
          </reference>
          <reference field="17" count="1" selected="0">
            <x v="10"/>
          </reference>
          <reference field="19" count="1" selected="0">
            <x v="8"/>
          </reference>
          <reference field="31" count="1" selected="0">
            <x v="2"/>
          </reference>
        </references>
      </pivotArea>
    </format>
    <format dxfId="1965">
      <pivotArea dataOnly="0" labelOnly="1" outline="0" fieldPosition="0">
        <references count="9">
          <reference field="10" count="1">
            <x v="0"/>
          </reference>
          <reference field="12" count="1" selected="0">
            <x v="26"/>
          </reference>
          <reference field="13" count="1" selected="0">
            <x v="13"/>
          </reference>
          <reference field="14" count="1" selected="0">
            <x v="12"/>
          </reference>
          <reference field="15" count="1" selected="0">
            <x v="11"/>
          </reference>
          <reference field="16" count="1" selected="0">
            <x v="6"/>
          </reference>
          <reference field="17" count="1" selected="0">
            <x v="10"/>
          </reference>
          <reference field="19" count="1" selected="0">
            <x v="8"/>
          </reference>
          <reference field="31" count="1" selected="0">
            <x v="2"/>
          </reference>
        </references>
      </pivotArea>
    </format>
    <format dxfId="1964">
      <pivotArea dataOnly="0" labelOnly="1" outline="0" fieldPosition="0">
        <references count="9">
          <reference field="10" count="1">
            <x v="0"/>
          </reference>
          <reference field="12" count="1" selected="0">
            <x v="27"/>
          </reference>
          <reference field="13" count="1" selected="0">
            <x v="48"/>
          </reference>
          <reference field="14" count="1" selected="0">
            <x v="6"/>
          </reference>
          <reference field="15" count="1" selected="0">
            <x v="7"/>
          </reference>
          <reference field="16" count="1" selected="0">
            <x v="8"/>
          </reference>
          <reference field="17" count="1" selected="0">
            <x v="12"/>
          </reference>
          <reference field="19" count="1" selected="0">
            <x v="14"/>
          </reference>
          <reference field="31" count="1" selected="0">
            <x v="2"/>
          </reference>
        </references>
      </pivotArea>
    </format>
    <format dxfId="1963">
      <pivotArea dataOnly="0" labelOnly="1" outline="0" fieldPosition="0">
        <references count="9">
          <reference field="10" count="1">
            <x v="0"/>
          </reference>
          <reference field="12" count="1" selected="0">
            <x v="28"/>
          </reference>
          <reference field="13" count="1" selected="0">
            <x v="32"/>
          </reference>
          <reference field="14" count="1" selected="0">
            <x v="11"/>
          </reference>
          <reference field="15" count="1" selected="0">
            <x v="6"/>
          </reference>
          <reference field="16" count="1" selected="0">
            <x v="7"/>
          </reference>
          <reference field="17" count="1" selected="0">
            <x v="10"/>
          </reference>
          <reference field="19" count="1" selected="0">
            <x v="10"/>
          </reference>
          <reference field="31" count="1" selected="0">
            <x v="2"/>
          </reference>
        </references>
      </pivotArea>
    </format>
    <format dxfId="1962">
      <pivotArea dataOnly="0" labelOnly="1" outline="0" fieldPosition="0">
        <references count="9">
          <reference field="10" count="1">
            <x v="0"/>
          </reference>
          <reference field="12" count="1" selected="0">
            <x v="36"/>
          </reference>
          <reference field="13" count="1" selected="0">
            <x v="37"/>
          </reference>
          <reference field="14" count="1" selected="0">
            <x v="5"/>
          </reference>
          <reference field="15" count="1" selected="0">
            <x v="8"/>
          </reference>
          <reference field="16" count="1" selected="0">
            <x v="11"/>
          </reference>
          <reference field="17" count="1" selected="0">
            <x v="4"/>
          </reference>
          <reference field="19" count="1" selected="0">
            <x v="15"/>
          </reference>
          <reference field="31" count="1" selected="0">
            <x v="2"/>
          </reference>
        </references>
      </pivotArea>
    </format>
    <format dxfId="1961">
      <pivotArea dataOnly="0" labelOnly="1" outline="0" fieldPosition="0">
        <references count="9">
          <reference field="10" count="1">
            <x v="0"/>
          </reference>
          <reference field="12" count="1" selected="0">
            <x v="40"/>
          </reference>
          <reference field="13" count="1" selected="0">
            <x v="42"/>
          </reference>
          <reference field="14" count="1" selected="0">
            <x v="10"/>
          </reference>
          <reference field="15" count="1" selected="0">
            <x v="8"/>
          </reference>
          <reference field="16" count="1" selected="0">
            <x v="8"/>
          </reference>
          <reference field="17" count="1" selected="0">
            <x v="12"/>
          </reference>
          <reference field="19" count="1" selected="0">
            <x v="14"/>
          </reference>
          <reference field="31" count="1" selected="0">
            <x v="2"/>
          </reference>
        </references>
      </pivotArea>
    </format>
    <format dxfId="1960">
      <pivotArea dataOnly="0" labelOnly="1" outline="0" fieldPosition="0">
        <references count="9">
          <reference field="10" count="1">
            <x v="0"/>
          </reference>
          <reference field="12" count="1" selected="0">
            <x v="41"/>
          </reference>
          <reference field="13" count="1" selected="0">
            <x v="45"/>
          </reference>
          <reference field="14" count="1" selected="0">
            <x v="10"/>
          </reference>
          <reference field="15" count="1" selected="0">
            <x v="8"/>
          </reference>
          <reference field="16" count="1" selected="0">
            <x v="8"/>
          </reference>
          <reference field="17" count="1" selected="0">
            <x v="12"/>
          </reference>
          <reference field="19" count="1" selected="0">
            <x v="14"/>
          </reference>
          <reference field="31" count="1" selected="0">
            <x v="2"/>
          </reference>
        </references>
      </pivotArea>
    </format>
    <format dxfId="1959">
      <pivotArea dataOnly="0" labelOnly="1" outline="0" fieldPosition="0">
        <references count="9">
          <reference field="10" count="1">
            <x v="0"/>
          </reference>
          <reference field="12" count="1" selected="0">
            <x v="6"/>
          </reference>
          <reference field="13" count="1" selected="0">
            <x v="33"/>
          </reference>
          <reference field="14" count="1" selected="0">
            <x v="13"/>
          </reference>
          <reference field="15" count="1" selected="0">
            <x v="2"/>
          </reference>
          <reference field="16" count="1" selected="0">
            <x v="9"/>
          </reference>
          <reference field="17" count="1" selected="0">
            <x v="2"/>
          </reference>
          <reference field="19" count="1" selected="0">
            <x v="5"/>
          </reference>
          <reference field="31" count="1" selected="0">
            <x v="3"/>
          </reference>
        </references>
      </pivotArea>
    </format>
    <format dxfId="1958">
      <pivotArea dataOnly="0" labelOnly="1" outline="0" fieldPosition="0">
        <references count="9">
          <reference field="10" count="1">
            <x v="0"/>
          </reference>
          <reference field="12" count="1" selected="0">
            <x v="7"/>
          </reference>
          <reference field="13" count="1" selected="0">
            <x v="15"/>
          </reference>
          <reference field="14" count="1" selected="0">
            <x v="13"/>
          </reference>
          <reference field="15" count="1" selected="0">
            <x v="2"/>
          </reference>
          <reference field="16" count="1" selected="0">
            <x v="9"/>
          </reference>
          <reference field="17" count="1" selected="0">
            <x v="2"/>
          </reference>
          <reference field="19" count="1" selected="0">
            <x v="5"/>
          </reference>
          <reference field="31" count="1" selected="0">
            <x v="3"/>
          </reference>
        </references>
      </pivotArea>
    </format>
    <format dxfId="1957">
      <pivotArea dataOnly="0" labelOnly="1" outline="0" fieldPosition="0">
        <references count="9">
          <reference field="10" count="1">
            <x v="0"/>
          </reference>
          <reference field="12" count="1" selected="0">
            <x v="29"/>
          </reference>
          <reference field="13" count="1" selected="0">
            <x v="30"/>
          </reference>
          <reference field="14" count="1" selected="0">
            <x v="12"/>
          </reference>
          <reference field="15" count="1" selected="0">
            <x v="3"/>
          </reference>
          <reference field="16" count="1" selected="0">
            <x v="1"/>
          </reference>
          <reference field="17" count="1" selected="0">
            <x v="11"/>
          </reference>
          <reference field="19" count="1" selected="0">
            <x v="8"/>
          </reference>
          <reference field="31" count="1" selected="0">
            <x v="3"/>
          </reference>
        </references>
      </pivotArea>
    </format>
    <format dxfId="1956">
      <pivotArea dataOnly="0" labelOnly="1" outline="0" fieldPosition="0">
        <references count="9">
          <reference field="10" count="1">
            <x v="0"/>
          </reference>
          <reference field="12" count="1" selected="0">
            <x v="30"/>
          </reference>
          <reference field="13" count="1" selected="0">
            <x v="29"/>
          </reference>
          <reference field="14" count="1" selected="0">
            <x v="12"/>
          </reference>
          <reference field="15" count="1" selected="0">
            <x v="3"/>
          </reference>
          <reference field="16" count="1" selected="0">
            <x v="1"/>
          </reference>
          <reference field="17" count="1" selected="0">
            <x v="11"/>
          </reference>
          <reference field="19" count="1" selected="0">
            <x v="8"/>
          </reference>
          <reference field="31" count="1" selected="0">
            <x v="3"/>
          </reference>
        </references>
      </pivotArea>
    </format>
    <format dxfId="1955">
      <pivotArea dataOnly="0" labelOnly="1" outline="0" fieldPosition="0">
        <references count="9">
          <reference field="10" count="1">
            <x v="0"/>
          </reference>
          <reference field="12" count="1" selected="0">
            <x v="2"/>
          </reference>
          <reference field="13" count="1" selected="0">
            <x v="3"/>
          </reference>
          <reference field="14" count="1" selected="0">
            <x v="3"/>
          </reference>
          <reference field="15" count="1" selected="0">
            <x v="6"/>
          </reference>
          <reference field="16" count="1" selected="0">
            <x v="2"/>
          </reference>
          <reference field="17" count="1" selected="0">
            <x v="12"/>
          </reference>
          <reference field="19" count="1" selected="0">
            <x v="13"/>
          </reference>
          <reference field="31" count="1" selected="0">
            <x v="4"/>
          </reference>
        </references>
      </pivotArea>
    </format>
    <format dxfId="1954">
      <pivotArea dataOnly="0" labelOnly="1" outline="0" fieldPosition="0">
        <references count="9">
          <reference field="10" count="1">
            <x v="0"/>
          </reference>
          <reference field="12" count="1" selected="0">
            <x v="21"/>
          </reference>
          <reference field="13" count="1" selected="0">
            <x v="17"/>
          </reference>
          <reference field="14" count="1" selected="0">
            <x v="0"/>
          </reference>
          <reference field="15" count="1" selected="0">
            <x v="0"/>
          </reference>
          <reference field="16" count="1" selected="0">
            <x v="0"/>
          </reference>
          <reference field="17" count="1" selected="0">
            <x v="0"/>
          </reference>
          <reference field="19" count="1" selected="0">
            <x v="14"/>
          </reference>
          <reference field="31" count="1" selected="0">
            <x v="4"/>
          </reference>
        </references>
      </pivotArea>
    </format>
    <format dxfId="1953">
      <pivotArea dataOnly="0" labelOnly="1" outline="0" fieldPosition="0">
        <references count="9">
          <reference field="10" count="1">
            <x v="0"/>
          </reference>
          <reference field="12" count="1" selected="0">
            <x v="38"/>
          </reference>
          <reference field="13" count="1" selected="0">
            <x v="39"/>
          </reference>
          <reference field="14" count="1" selected="0">
            <x v="6"/>
          </reference>
          <reference field="15" count="1" selected="0">
            <x v="14"/>
          </reference>
          <reference field="16" count="1" selected="0">
            <x v="3"/>
          </reference>
          <reference field="17" count="1" selected="0">
            <x v="4"/>
          </reference>
          <reference field="19" count="1" selected="0">
            <x v="3"/>
          </reference>
          <reference field="31" count="1" selected="0">
            <x v="4"/>
          </reference>
        </references>
      </pivotArea>
    </format>
    <format dxfId="1952">
      <pivotArea dataOnly="0" labelOnly="1" outline="0" fieldPosition="0">
        <references count="9">
          <reference field="10" count="1">
            <x v="0"/>
          </reference>
          <reference field="12" count="1" selected="0">
            <x v="42"/>
          </reference>
          <reference field="13" count="1" selected="0">
            <x v="44"/>
          </reference>
          <reference field="14" count="1" selected="0">
            <x v="0"/>
          </reference>
          <reference field="15" count="1" selected="0">
            <x v="0"/>
          </reference>
          <reference field="16" count="1" selected="0">
            <x v="0"/>
          </reference>
          <reference field="17" count="1" selected="0">
            <x v="0"/>
          </reference>
          <reference field="19" count="1" selected="0">
            <x v="0"/>
          </reference>
          <reference field="31" count="1" selected="0">
            <x v="4"/>
          </reference>
        </references>
      </pivotArea>
    </format>
    <format dxfId="1951">
      <pivotArea dataOnly="0" labelOnly="1" outline="0" fieldPosition="0">
        <references count="9">
          <reference field="10" count="1">
            <x v="0"/>
          </reference>
          <reference field="12" count="1" selected="0">
            <x v="31"/>
          </reference>
          <reference field="13" count="1" selected="0">
            <x v="14"/>
          </reference>
          <reference field="14" count="1" selected="0">
            <x v="0"/>
          </reference>
          <reference field="15" count="1" selected="0">
            <x v="2"/>
          </reference>
          <reference field="16" count="1" selected="0">
            <x v="4"/>
          </reference>
          <reference field="17" count="1" selected="0">
            <x v="8"/>
          </reference>
          <reference field="19" count="1" selected="0">
            <x v="12"/>
          </reference>
          <reference field="31" count="1" selected="0">
            <x v="5"/>
          </reference>
        </references>
      </pivotArea>
    </format>
    <format dxfId="1950">
      <pivotArea dataOnly="0" labelOnly="1" outline="0" fieldPosition="0">
        <references count="9">
          <reference field="10" count="1">
            <x v="0"/>
          </reference>
          <reference field="12" count="1" selected="0">
            <x v="32"/>
          </reference>
          <reference field="13" count="1" selected="0">
            <x v="23"/>
          </reference>
          <reference field="14" count="1" selected="0">
            <x v="0"/>
          </reference>
          <reference field="15" count="1" selected="0">
            <x v="13"/>
          </reference>
          <reference field="16" count="1" selected="0">
            <x v="5"/>
          </reference>
          <reference field="17" count="1" selected="0">
            <x v="6"/>
          </reference>
          <reference field="19" count="1" selected="0">
            <x v="9"/>
          </reference>
          <reference field="31" count="1" selected="0">
            <x v="5"/>
          </reference>
        </references>
      </pivotArea>
    </format>
    <format dxfId="1949">
      <pivotArea dataOnly="0" labelOnly="1" outline="0" fieldPosition="0">
        <references count="9">
          <reference field="10" count="1">
            <x v="0"/>
          </reference>
          <reference field="12" count="1" selected="0">
            <x v="3"/>
          </reference>
          <reference field="13" count="1" selected="0">
            <x v="16"/>
          </reference>
          <reference field="14" count="1" selected="0">
            <x v="9"/>
          </reference>
          <reference field="15" count="1" selected="0">
            <x v="5"/>
          </reference>
          <reference field="16" count="1" selected="0">
            <x v="6"/>
          </reference>
          <reference field="17" count="1" selected="0">
            <x v="1"/>
          </reference>
          <reference field="19" count="1" selected="0">
            <x v="6"/>
          </reference>
          <reference field="31" count="1" selected="0">
            <x v="6"/>
          </reference>
        </references>
      </pivotArea>
    </format>
    <format dxfId="1948">
      <pivotArea dataOnly="0" labelOnly="1" outline="0" fieldPosition="0">
        <references count="9">
          <reference field="10" count="1">
            <x v="0"/>
          </reference>
          <reference field="12" count="1" selected="0">
            <x v="20"/>
          </reference>
          <reference field="13" count="1" selected="0">
            <x v="35"/>
          </reference>
          <reference field="14" count="1" selected="0">
            <x v="6"/>
          </reference>
          <reference field="15" count="1" selected="0">
            <x v="2"/>
          </reference>
          <reference field="16" count="1" selected="0">
            <x v="3"/>
          </reference>
          <reference field="17" count="1" selected="0">
            <x v="9"/>
          </reference>
          <reference field="19" count="1" selected="0">
            <x v="3"/>
          </reference>
          <reference field="31" count="1" selected="0">
            <x v="7"/>
          </reference>
        </references>
      </pivotArea>
    </format>
    <format dxfId="1947">
      <pivotArea dataOnly="0" labelOnly="1" outline="0" fieldPosition="0">
        <references count="9">
          <reference field="10" count="1">
            <x v="0"/>
          </reference>
          <reference field="12" count="1" selected="0">
            <x v="37"/>
          </reference>
          <reference field="13" count="1" selected="0">
            <x v="38"/>
          </reference>
          <reference field="14" count="1" selected="0">
            <x v="6"/>
          </reference>
          <reference field="15" count="1" selected="0">
            <x v="2"/>
          </reference>
          <reference field="16" count="1" selected="0">
            <x v="3"/>
          </reference>
          <reference field="17" count="1" selected="0">
            <x v="9"/>
          </reference>
          <reference field="19" count="1" selected="0">
            <x v="3"/>
          </reference>
          <reference field="31" count="1" selected="0">
            <x v="7"/>
          </reference>
        </references>
      </pivotArea>
    </format>
    <format dxfId="1946">
      <pivotArea dataOnly="0" labelOnly="1" outline="0" fieldPosition="0">
        <references count="9">
          <reference field="10" count="1">
            <x v="0"/>
          </reference>
          <reference field="12" count="1" selected="0">
            <x v="24"/>
          </reference>
          <reference field="13" count="1" selected="0">
            <x v="9"/>
          </reference>
          <reference field="14" count="1" selected="0">
            <x v="0"/>
          </reference>
          <reference field="15" count="1" selected="0">
            <x v="0"/>
          </reference>
          <reference field="16" count="1" selected="0">
            <x v="0"/>
          </reference>
          <reference field="17" count="1" selected="0">
            <x v="0"/>
          </reference>
          <reference field="19" count="1" selected="0">
            <x v="14"/>
          </reference>
          <reference field="31" count="1" selected="0">
            <x v="8"/>
          </reference>
        </references>
      </pivotArea>
    </format>
    <format dxfId="1945">
      <pivotArea dataOnly="0" labelOnly="1" outline="0" axis="axisValues" fieldPosition="0"/>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403F37-7A3F-4EBD-B0ED-9A708591529D}" name="PivotTable1" cacheId="0" applyNumberFormats="0" applyBorderFormats="0" applyFontFormats="0" applyPatternFormats="0" applyAlignmentFormats="0" applyWidthHeightFormats="1" dataCaption="Werte" updatedVersion="8" minRefreshableVersion="3" useAutoFormatting="1" itemPrintTitles="1" createdVersion="8" indent="0" compact="0" compactData="0" multipleFieldFilters="0">
  <location ref="A1:L98" firstHeaderRow="1" firstDataRow="1" firstDataCol="12"/>
  <pivotFields count="32">
    <pivotField axis="axisRow" compact="0" outline="0" showAll="0" sortType="ascending" defaultSubtotal="0">
      <items count="73">
        <item x="59"/>
        <item x="60"/>
        <item x="61"/>
        <item x="62"/>
        <item x="63"/>
        <item x="64"/>
        <item x="65"/>
        <item x="66"/>
        <item x="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m="1" x="68"/>
        <item m="1" x="69"/>
        <item m="1" x="70"/>
        <item x="37"/>
        <item x="38"/>
        <item x="39"/>
        <item x="40"/>
        <item x="41"/>
        <item x="42"/>
        <item x="43"/>
        <item x="44"/>
        <item x="45"/>
        <item x="46"/>
        <item x="47"/>
        <item x="48"/>
        <item x="49"/>
        <item m="1" x="71"/>
        <item m="1" x="72"/>
        <item x="50"/>
        <item x="51"/>
        <item x="52"/>
        <item x="53"/>
        <item x="54"/>
        <item x="55"/>
        <item x="56"/>
        <item x="57"/>
        <item x="5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axis="axisRow" compact="0" outline="0" showAll="0">
      <items count="13">
        <item x="0"/>
        <item x="1"/>
        <item x="2"/>
        <item x="3"/>
        <item x="4"/>
        <item x="5"/>
        <item x="6"/>
        <item x="7"/>
        <item x="8"/>
        <item x="9"/>
        <item x="10"/>
        <item x="11"/>
        <item t="default"/>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5">
        <item m="1" x="14"/>
        <item m="1" x="11"/>
        <item x="10"/>
        <item x="9"/>
        <item m="1" x="12"/>
        <item x="3"/>
        <item x="0"/>
        <item x="1"/>
        <item x="4"/>
        <item x="6"/>
        <item m="1" x="13"/>
        <item x="5"/>
        <item x="2"/>
        <item x="8"/>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m="1" x="2"/>
        <item x="1"/>
      </items>
      <extLst>
        <ext xmlns:x14="http://schemas.microsoft.com/office/spreadsheetml/2009/9/main" uri="{2946ED86-A175-432a-8AC1-64E0C546D7DE}">
          <x14:pivotField fillDownLabels="1"/>
        </ext>
      </extLst>
    </pivotField>
    <pivotField name="AZ" axis="axisRow" compact="0" outline="0" showAll="0" defaultSubtotal="0">
      <items count="12">
        <item x="2"/>
        <item x="0"/>
        <item m="1" x="9"/>
        <item x="7"/>
        <item x="6"/>
        <item x="1"/>
        <item x="5"/>
        <item x="4"/>
        <item m="1" x="8"/>
        <item x="3"/>
        <item m="1" x="10"/>
        <item m="1" x="11"/>
      </items>
      <extLst>
        <ext xmlns:x14="http://schemas.microsoft.com/office/spreadsheetml/2009/9/main" uri="{2946ED86-A175-432a-8AC1-64E0C546D7DE}">
          <x14:pivotField fillDownLabels="1"/>
        </ext>
      </extLst>
    </pivotField>
    <pivotField axis="axisRow" compact="0" outline="0" showAll="0" defaultSubtotal="0">
      <items count="52">
        <item x="6"/>
        <item x="13"/>
        <item x="7"/>
        <item x="8"/>
        <item x="34"/>
        <item x="5"/>
        <item x="4"/>
        <item x="18"/>
        <item x="42"/>
        <item x="20"/>
        <item x="21"/>
        <item x="24"/>
        <item x="27"/>
        <item x="16"/>
        <item m="1" x="50"/>
        <item x="11"/>
        <item x="0"/>
        <item x="17"/>
        <item x="26"/>
        <item x="23"/>
        <item x="39"/>
        <item x="35"/>
        <item x="22"/>
        <item m="1" x="51"/>
        <item x="32"/>
        <item x="40"/>
        <item x="38"/>
        <item x="43"/>
        <item x="36"/>
        <item x="45"/>
        <item x="46"/>
        <item x="30"/>
        <item x="31"/>
        <item x="12"/>
        <item x="15"/>
        <item m="1" x="49"/>
        <item x="2"/>
        <item x="9"/>
        <item x="10"/>
        <item x="25"/>
        <item m="1" x="47"/>
        <item m="1" x="48"/>
        <item x="19"/>
        <item x="1"/>
        <item x="3"/>
        <item x="14"/>
        <item x="41"/>
        <item x="37"/>
        <item x="28"/>
        <item x="29"/>
        <item x="33"/>
        <item x="44"/>
      </items>
      <extLst>
        <ext xmlns:x14="http://schemas.microsoft.com/office/spreadsheetml/2009/9/main" uri="{2946ED86-A175-432a-8AC1-64E0C546D7DE}">
          <x14:pivotField fillDownLabels="1"/>
        </ext>
      </extLst>
    </pivotField>
    <pivotField axis="axisRow" compact="0" outline="0" showAll="0" defaultSubtotal="0">
      <items count="60">
        <item m="1" x="59"/>
        <item m="1" x="51"/>
        <item x="12"/>
        <item x="7"/>
        <item x="16"/>
        <item x="0"/>
        <item m="1" x="54"/>
        <item m="1" x="52"/>
        <item m="1" x="53"/>
        <item m="1" x="49"/>
        <item x="6"/>
        <item m="1" x="58"/>
        <item x="40"/>
        <item x="38"/>
        <item x="30"/>
        <item x="18"/>
        <item x="8"/>
        <item x="35"/>
        <item x="15"/>
        <item m="1" x="57"/>
        <item x="17"/>
        <item x="24"/>
        <item x="23"/>
        <item x="31"/>
        <item x="26"/>
        <item x="13"/>
        <item x="20"/>
        <item x="21"/>
        <item x="27"/>
        <item x="46"/>
        <item x="45"/>
        <item x="34"/>
        <item x="36"/>
        <item x="4"/>
        <item x="11"/>
        <item x="39"/>
        <item m="1" x="56"/>
        <item x="2"/>
        <item x="9"/>
        <item x="10"/>
        <item x="25"/>
        <item m="1" x="47"/>
        <item x="19"/>
        <item m="1" x="55"/>
        <item x="41"/>
        <item m="1" x="50"/>
        <item x="5"/>
        <item x="42"/>
        <item x="43"/>
        <item x="1"/>
        <item x="3"/>
        <item x="14"/>
        <item x="22"/>
        <item x="32"/>
        <item m="1" x="48"/>
        <item x="37"/>
        <item x="28"/>
        <item x="29"/>
        <item x="33"/>
        <item x="4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6">
        <item x="7"/>
        <item x="9"/>
        <item x="2"/>
        <item x="15"/>
        <item x="10"/>
        <item x="13"/>
        <item x="4"/>
        <item x="5"/>
        <item x="3"/>
        <item x="14"/>
        <item x="1"/>
        <item x="8"/>
        <item x="6"/>
        <item x="12"/>
        <item x="0"/>
        <item x="1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5">
        <item x="6"/>
        <item x="4"/>
        <item x="2"/>
        <item x="8"/>
        <item x="1"/>
        <item x="0"/>
        <item x="14"/>
        <item x="11"/>
        <item x="7"/>
        <item x="10"/>
        <item x="5"/>
        <item x="13"/>
        <item x="9"/>
        <item x="3"/>
        <item x="12"/>
      </items>
      <extLst>
        <ext xmlns:x14="http://schemas.microsoft.com/office/spreadsheetml/2009/9/main" uri="{2946ED86-A175-432a-8AC1-64E0C546D7DE}">
          <x14:pivotField fillDownLabels="1"/>
        </ext>
      </extLst>
    </pivotField>
    <pivotField axis="axisRow" compact="0" outline="0" showAll="0" defaultSubtotal="0">
      <items count="12">
        <item x="3"/>
        <item x="7"/>
        <item x="9"/>
        <item x="5"/>
        <item x="2"/>
        <item x="0"/>
        <item x="8"/>
        <item x="4"/>
        <item x="1"/>
        <item x="6"/>
        <item x="10"/>
        <item x="11"/>
      </items>
      <extLst>
        <ext xmlns:x14="http://schemas.microsoft.com/office/spreadsheetml/2009/9/main" uri="{2946ED86-A175-432a-8AC1-64E0C546D7DE}">
          <x14:pivotField fillDownLabels="1"/>
        </ext>
      </extLst>
    </pivotField>
    <pivotField axis="axisRow" compact="0" outline="0" showAll="0" defaultSubtotal="0">
      <items count="20">
        <item x="8"/>
        <item x="11"/>
        <item x="13"/>
        <item x="6"/>
        <item x="12"/>
        <item x="3"/>
        <item x="5"/>
        <item x="7"/>
        <item x="18"/>
        <item x="15"/>
        <item x="1"/>
        <item x="2"/>
        <item x="9"/>
        <item x="10"/>
        <item x="14"/>
        <item x="4"/>
        <item x="0"/>
        <item x="16"/>
        <item x="17"/>
        <item x="1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6">
        <item x="0"/>
        <item x="5"/>
        <item x="15"/>
        <item x="22"/>
        <item x="13"/>
        <item x="7"/>
        <item x="12"/>
        <item x="3"/>
        <item x="1"/>
        <item x="11"/>
        <item x="23"/>
        <item x="20"/>
        <item x="25"/>
        <item x="8"/>
        <item x="4"/>
        <item x="6"/>
        <item x="2"/>
        <item x="9"/>
        <item x="16"/>
        <item x="14"/>
        <item x="21"/>
        <item x="10"/>
        <item x="19"/>
        <item x="17"/>
        <item x="18"/>
        <item x="2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2">
    <field x="5"/>
    <field x="4"/>
    <field x="0"/>
    <field x="8"/>
    <field x="10"/>
    <field x="12"/>
    <field x="11"/>
    <field x="13"/>
    <field x="15"/>
    <field x="17"/>
    <field x="18"/>
    <field x="19"/>
  </rowFields>
  <rowItems count="97">
    <i>
      <x/>
      <x v="2"/>
      <x v="9"/>
      <x v="6"/>
      <x/>
      <x v="16"/>
      <x v="1"/>
      <x v="5"/>
      <x v="14"/>
      <x v="5"/>
      <x v="5"/>
      <x v="16"/>
    </i>
    <i r="5">
      <x v="43"/>
      <x v="1"/>
      <x v="49"/>
      <x v="10"/>
      <x v="5"/>
      <x v="8"/>
      <x v="16"/>
    </i>
    <i r="2">
      <x v="10"/>
      <x v="6"/>
      <x/>
      <x v="36"/>
      <x v="1"/>
      <x v="37"/>
      <x v="10"/>
      <x v="4"/>
      <x v="4"/>
      <x v="10"/>
    </i>
    <i r="5">
      <x v="44"/>
      <x v="1"/>
      <x v="50"/>
      <x v="10"/>
      <x v="4"/>
      <x v="8"/>
      <x v="11"/>
    </i>
    <i r="2">
      <x v="11"/>
      <x v="7"/>
      <x/>
      <x v="6"/>
      <x v="5"/>
      <x v="33"/>
      <x v="2"/>
      <x v="2"/>
      <x/>
      <x v="5"/>
    </i>
    <i r="2">
      <x v="12"/>
      <x v="7"/>
      <x/>
      <x/>
      <x/>
      <x v="10"/>
      <x v="10"/>
      <x v="13"/>
      <x v="7"/>
      <x v="16"/>
    </i>
    <i r="5">
      <x v="2"/>
      <x/>
      <x v="3"/>
      <x v="8"/>
      <x v="13"/>
      <x v="5"/>
      <x v="15"/>
    </i>
    <i r="5">
      <x v="5"/>
      <x/>
      <x v="46"/>
      <x v="10"/>
      <x v="13"/>
      <x v="7"/>
      <x v="16"/>
    </i>
    <i r="2">
      <x v="13"/>
      <x v="6"/>
      <x/>
      <x v="3"/>
      <x v="9"/>
      <x v="16"/>
      <x v="6"/>
      <x v="1"/>
      <x v="3"/>
      <x v="6"/>
    </i>
    <i r="2">
      <x v="14"/>
      <x v="6"/>
      <x/>
      <x v="37"/>
      <x v="5"/>
      <x v="38"/>
      <x v="2"/>
      <x v="10"/>
      <x v="3"/>
      <x v="3"/>
    </i>
    <i r="5">
      <x v="38"/>
      <x v="1"/>
      <x v="39"/>
      <x v="7"/>
      <x v="4"/>
      <x v="3"/>
      <x v="3"/>
    </i>
    <i t="default">
      <x/>
    </i>
    <i>
      <x v="1"/>
      <x v="2"/>
      <x v="15"/>
      <x v="12"/>
      <x/>
      <x v="15"/>
      <x/>
      <x v="34"/>
      <x v="12"/>
      <x/>
      <x v="5"/>
      <x v="7"/>
    </i>
    <i r="2">
      <x v="16"/>
      <x v="5"/>
      <x/>
      <x v="33"/>
      <x v="7"/>
      <x v="2"/>
      <x/>
      <x/>
      <x/>
      <x/>
    </i>
    <i r="2">
      <x v="17"/>
      <x v="5"/>
      <x/>
      <x v="33"/>
      <x v="7"/>
      <x v="2"/>
      <x/>
      <x/>
      <x/>
      <x/>
    </i>
    <i r="2">
      <x v="18"/>
      <x v="7"/>
      <x/>
      <x v="1"/>
      <x/>
      <x v="25"/>
      <x v="10"/>
      <x v="13"/>
      <x v="7"/>
      <x v="16"/>
    </i>
    <i r="5">
      <x v="45"/>
      <x/>
      <x v="51"/>
      <x v="10"/>
      <x v="4"/>
      <x v="9"/>
      <x v="12"/>
    </i>
    <i r="2">
      <x v="19"/>
      <x v="5"/>
      <x v="2"/>
      <x v="34"/>
      <x v="7"/>
      <x v="18"/>
      <x/>
      <x/>
      <x/>
      <x/>
    </i>
    <i r="2">
      <x v="20"/>
      <x v="5"/>
      <x v="2"/>
      <x v="34"/>
      <x v="7"/>
      <x v="18"/>
      <x/>
      <x/>
      <x/>
      <x/>
    </i>
    <i t="default">
      <x v="1"/>
    </i>
    <i>
      <x v="2"/>
      <x v="2"/>
      <x v="21"/>
      <x v="6"/>
      <x/>
      <x v="13"/>
      <x v="1"/>
      <x v="4"/>
      <x v="14"/>
      <x v="5"/>
      <x v="5"/>
      <x v="16"/>
    </i>
    <i r="5">
      <x v="43"/>
      <x v="1"/>
      <x v="49"/>
      <x v="10"/>
      <x v="5"/>
      <x v="8"/>
      <x v="16"/>
    </i>
    <i r="2">
      <x v="22"/>
      <x v="6"/>
      <x/>
      <x v="17"/>
      <x v="1"/>
      <x v="20"/>
      <x v="11"/>
      <x v="4"/>
      <x v="4"/>
      <x v="16"/>
    </i>
    <i r="5">
      <x v="44"/>
      <x v="1"/>
      <x v="50"/>
      <x v="10"/>
      <x v="4"/>
      <x v="8"/>
      <x v="11"/>
    </i>
    <i r="2">
      <x v="23"/>
      <x v="7"/>
      <x/>
      <x v="7"/>
      <x v="5"/>
      <x v="15"/>
      <x v="2"/>
      <x v="2"/>
      <x/>
      <x v="5"/>
    </i>
    <i r="2">
      <x v="24"/>
      <x v="7"/>
      <x/>
      <x/>
      <x/>
      <x v="10"/>
      <x v="10"/>
      <x v="13"/>
      <x v="7"/>
      <x v="16"/>
    </i>
    <i r="5">
      <x v="2"/>
      <x/>
      <x v="3"/>
      <x v="8"/>
      <x v="13"/>
      <x v="5"/>
      <x v="15"/>
    </i>
    <i r="5">
      <x v="42"/>
      <x/>
      <x v="42"/>
      <x v="10"/>
      <x v="13"/>
      <x v="7"/>
      <x v="16"/>
    </i>
    <i r="2">
      <x v="25"/>
      <x v="6"/>
      <x/>
      <x v="3"/>
      <x v="9"/>
      <x v="16"/>
      <x v="6"/>
      <x v="1"/>
      <x v="3"/>
      <x v="6"/>
    </i>
    <i r="2">
      <x v="26"/>
      <x v="5"/>
      <x/>
      <x v="9"/>
      <x v="6"/>
      <x v="26"/>
      <x v="2"/>
      <x v="8"/>
      <x v="1"/>
      <x v="13"/>
    </i>
    <i r="5">
      <x v="10"/>
      <x v="6"/>
      <x v="27"/>
      <x v="1"/>
      <x v="8"/>
      <x v="1"/>
      <x v="1"/>
    </i>
    <i t="default">
      <x v="2"/>
    </i>
    <i>
      <x v="3"/>
      <x v="2"/>
      <x v="27"/>
      <x v="7"/>
      <x/>
      <x v="22"/>
      <x v="1"/>
      <x v="52"/>
      <x v="10"/>
      <x v="8"/>
      <x v="6"/>
      <x v="16"/>
    </i>
    <i r="2">
      <x v="28"/>
      <x v="6"/>
      <x/>
      <x v="19"/>
      <x v="4"/>
      <x v="22"/>
      <x v="4"/>
      <x v="3"/>
      <x/>
      <x v="4"/>
    </i>
    <i r="2">
      <x v="29"/>
      <x v="6"/>
      <x/>
      <x v="11"/>
      <x v="4"/>
      <x v="21"/>
      <x v="4"/>
      <x v="3"/>
      <x/>
      <x v="4"/>
    </i>
    <i r="2">
      <x v="30"/>
      <x v="7"/>
      <x/>
      <x v="1"/>
      <x/>
      <x v="25"/>
      <x v="10"/>
      <x v="13"/>
      <x v="7"/>
      <x v="16"/>
    </i>
    <i r="5">
      <x v="45"/>
      <x/>
      <x v="51"/>
      <x v="10"/>
      <x v="4"/>
      <x v="9"/>
      <x v="12"/>
    </i>
    <i r="2">
      <x v="31"/>
      <x v="5"/>
      <x/>
      <x v="34"/>
      <x v="7"/>
      <x v="18"/>
      <x/>
      <x/>
      <x/>
      <x/>
    </i>
    <i r="2">
      <x v="32"/>
      <x v="7"/>
      <x/>
      <x v="1"/>
      <x/>
      <x v="25"/>
      <x v="10"/>
      <x v="13"/>
      <x v="7"/>
      <x v="16"/>
    </i>
    <i r="5">
      <x v="42"/>
      <x/>
      <x v="42"/>
      <x v="10"/>
      <x v="13"/>
      <x v="7"/>
      <x v="16"/>
    </i>
    <i t="default">
      <x v="3"/>
    </i>
    <i>
      <x v="4"/>
      <x v="1"/>
      <x v="33"/>
      <x v="8"/>
      <x/>
      <x v="34"/>
      <x v="4"/>
      <x v="18"/>
      <x/>
      <x/>
      <x/>
      <x/>
    </i>
    <i r="2">
      <x v="34"/>
      <x v="11"/>
      <x/>
      <x v="34"/>
      <x v="4"/>
      <x v="18"/>
      <x/>
      <x/>
      <x/>
      <x/>
    </i>
    <i r="2">
      <x v="35"/>
      <x v="8"/>
      <x v="2"/>
      <x v="39"/>
      <x v="7"/>
      <x v="40"/>
      <x/>
      <x/>
      <x/>
      <x/>
    </i>
    <i r="2">
      <x v="36"/>
      <x v="9"/>
      <x v="2"/>
      <x v="18"/>
      <x v="7"/>
      <x v="24"/>
      <x v="4"/>
      <x v="3"/>
      <x/>
      <x v="4"/>
    </i>
    <i r="2">
      <x v="37"/>
      <x v="14"/>
      <x v="2"/>
      <x v="34"/>
      <x v="7"/>
      <x v="18"/>
      <x/>
      <x/>
      <x/>
      <x/>
    </i>
    <i r="2">
      <x v="38"/>
      <x v="7"/>
      <x/>
      <x/>
      <x/>
      <x v="10"/>
      <x v="10"/>
      <x v="13"/>
      <x v="7"/>
      <x v="16"/>
    </i>
    <i r="5">
      <x v="45"/>
      <x/>
      <x v="51"/>
      <x v="10"/>
      <x v="4"/>
      <x v="9"/>
      <x v="12"/>
    </i>
    <i t="default">
      <x v="4"/>
    </i>
    <i>
      <x v="5"/>
      <x v="1"/>
      <x v="39"/>
      <x v="13"/>
      <x/>
      <x v="12"/>
      <x v="1"/>
      <x v="28"/>
      <x v="1"/>
      <x v="12"/>
      <x v="2"/>
      <x v="2"/>
    </i>
    <i r="2">
      <x v="40"/>
      <x v="13"/>
      <x/>
      <x v="48"/>
      <x v="1"/>
      <x v="56"/>
      <x/>
      <x/>
      <x/>
      <x/>
    </i>
    <i r="2">
      <x v="41"/>
      <x v="13"/>
      <x/>
      <x v="49"/>
      <x v="1"/>
      <x v="57"/>
      <x/>
      <x/>
      <x/>
      <x/>
    </i>
    <i r="2">
      <x v="42"/>
      <x v="3"/>
      <x/>
      <x v="31"/>
      <x v="5"/>
      <x v="14"/>
      <x v="2"/>
      <x v="9"/>
      <x/>
      <x v="14"/>
    </i>
    <i r="2">
      <x v="43"/>
      <x v="11"/>
      <x/>
      <x v="9"/>
      <x v="1"/>
      <x v="26"/>
      <x v="2"/>
      <x v="8"/>
      <x v="1"/>
      <x v="13"/>
    </i>
    <i r="2">
      <x v="44"/>
      <x v="11"/>
      <x/>
      <x v="32"/>
      <x v="1"/>
      <x v="23"/>
      <x v="15"/>
      <x v="7"/>
      <x/>
      <x v="9"/>
    </i>
    <i r="2">
      <x v="45"/>
      <x v="11"/>
      <x/>
      <x v="10"/>
      <x v="1"/>
      <x v="27"/>
      <x v="1"/>
      <x v="8"/>
      <x v="1"/>
      <x v="1"/>
    </i>
    <i r="2">
      <x v="49"/>
      <x v="12"/>
      <x/>
      <x v="24"/>
      <x v="1"/>
      <x v="53"/>
      <x/>
      <x/>
      <x/>
      <x v="16"/>
    </i>
    <i r="2">
      <x v="50"/>
      <x v="12"/>
      <x/>
      <x v="50"/>
      <x v="1"/>
      <x v="58"/>
      <x v="2"/>
      <x v="14"/>
      <x v="10"/>
      <x v="17"/>
    </i>
    <i r="2">
      <x v="51"/>
      <x v="12"/>
      <x/>
      <x v="4"/>
      <x v="1"/>
      <x v="31"/>
      <x v="1"/>
      <x v="13"/>
      <x v="3"/>
      <x v="18"/>
    </i>
    <i t="default">
      <x v="5"/>
    </i>
    <i>
      <x v="6"/>
      <x v="1"/>
      <x v="52"/>
      <x v="13"/>
      <x/>
      <x v="24"/>
      <x v="1"/>
      <x v="53"/>
      <x/>
      <x/>
      <x/>
      <x v="16"/>
    </i>
    <i r="2">
      <x v="53"/>
      <x v="13"/>
      <x/>
      <x v="21"/>
      <x v="1"/>
      <x v="17"/>
      <x/>
      <x/>
      <x/>
      <x v="16"/>
    </i>
    <i r="2">
      <x v="54"/>
      <x v="13"/>
      <x/>
      <x v="18"/>
      <x v="1"/>
      <x v="24"/>
      <x v="4"/>
      <x v="3"/>
      <x/>
      <x v="4"/>
    </i>
    <i r="2">
      <x v="55"/>
      <x v="13"/>
      <x/>
      <x v="18"/>
      <x v="1"/>
      <x v="24"/>
      <x v="4"/>
      <x v="3"/>
      <x/>
      <x v="4"/>
    </i>
    <i r="2">
      <x v="56"/>
      <x v="13"/>
      <x/>
      <x v="21"/>
      <x v="1"/>
      <x v="17"/>
      <x/>
      <x/>
      <x/>
      <x v="16"/>
    </i>
    <i r="2">
      <x v="57"/>
      <x v="13"/>
      <x/>
      <x v="24"/>
      <x v="1"/>
      <x v="53"/>
      <x/>
      <x/>
      <x/>
      <x v="16"/>
    </i>
    <i r="2">
      <x v="58"/>
      <x v="12"/>
      <x/>
      <x v="28"/>
      <x/>
      <x v="32"/>
      <x v="8"/>
      <x v="11"/>
      <x v="6"/>
      <x v="11"/>
    </i>
    <i r="2">
      <x v="59"/>
      <x v="13"/>
      <x/>
      <x v="47"/>
      <x/>
      <x v="55"/>
      <x/>
      <x/>
      <x/>
      <x/>
    </i>
    <i r="2">
      <x v="60"/>
      <x v="13"/>
      <x/>
      <x v="47"/>
      <x/>
      <x v="55"/>
      <x/>
      <x/>
      <x/>
      <x/>
    </i>
    <i r="2">
      <x v="61"/>
      <x v="12"/>
      <x/>
      <x v="28"/>
      <x/>
      <x v="32"/>
      <x v="8"/>
      <x v="11"/>
      <x v="6"/>
      <x v="11"/>
    </i>
    <i r="2">
      <x v="64"/>
      <x v="12"/>
      <x/>
      <x v="26"/>
      <x/>
      <x v="13"/>
      <x v="13"/>
      <x v="11"/>
      <x v="6"/>
      <x v="8"/>
    </i>
    <i r="2">
      <x v="65"/>
      <x v="13"/>
      <x/>
      <x v="20"/>
      <x/>
      <x v="35"/>
      <x v="2"/>
      <x v="10"/>
      <x v="3"/>
      <x v="3"/>
    </i>
    <i r="2">
      <x v="66"/>
      <x v="7"/>
      <x/>
      <x/>
      <x/>
      <x v="10"/>
      <x v="10"/>
      <x v="13"/>
      <x v="7"/>
      <x v="16"/>
    </i>
    <i r="5">
      <x v="1"/>
      <x/>
      <x v="25"/>
      <x v="10"/>
      <x v="13"/>
      <x v="7"/>
      <x v="16"/>
    </i>
    <i r="5">
      <x v="2"/>
      <x/>
      <x v="3"/>
      <x v="8"/>
      <x v="13"/>
      <x v="5"/>
      <x v="15"/>
    </i>
    <i t="default">
      <x v="6"/>
    </i>
    <i>
      <x v="7"/>
      <x/>
      <x v="67"/>
      <x v="2"/>
      <x/>
      <x v="25"/>
      <x/>
      <x v="12"/>
      <x v="13"/>
      <x v="11"/>
      <x v="6"/>
      <x v="8"/>
    </i>
    <i r="2">
      <x v="68"/>
      <x v="2"/>
      <x/>
      <x v="46"/>
      <x v="1"/>
      <x v="44"/>
      <x v="5"/>
      <x v="6"/>
      <x/>
      <x v="5"/>
    </i>
    <i r="2">
      <x v="69"/>
      <x v="2"/>
      <x/>
      <x v="25"/>
      <x/>
      <x v="12"/>
      <x v="13"/>
      <x v="11"/>
      <x v="6"/>
      <x v="8"/>
    </i>
    <i t="default">
      <x v="7"/>
    </i>
    <i>
      <x v="8"/>
      <x/>
      <x v="70"/>
      <x v="2"/>
      <x/>
      <x v="8"/>
      <x v="9"/>
      <x v="47"/>
      <x v="10"/>
      <x v="13"/>
      <x v="7"/>
      <x v="16"/>
    </i>
    <i r="2">
      <x v="71"/>
      <x v="2"/>
      <x/>
      <x v="20"/>
      <x v="5"/>
      <x v="35"/>
      <x v="2"/>
      <x v="10"/>
      <x v="3"/>
      <x v="3"/>
    </i>
    <i r="2">
      <x v="72"/>
      <x v="2"/>
      <x/>
      <x v="27"/>
      <x v="9"/>
      <x v="48"/>
      <x v="9"/>
      <x v="13"/>
      <x v="7"/>
      <x v="16"/>
    </i>
    <i t="default">
      <x v="8"/>
    </i>
    <i>
      <x v="9"/>
      <x/>
      <x/>
      <x v="2"/>
      <x/>
      <x v="5"/>
      <x v="1"/>
      <x v="46"/>
      <x v="10"/>
      <x v="13"/>
      <x v="7"/>
      <x v="16"/>
    </i>
    <i r="2">
      <x v="1"/>
      <x v="2"/>
      <x/>
      <x v="3"/>
      <x/>
      <x v="16"/>
      <x v="6"/>
      <x v="1"/>
      <x v="3"/>
      <x v="6"/>
    </i>
    <i r="2">
      <x v="2"/>
      <x v="2"/>
      <x/>
      <x v="51"/>
      <x/>
      <x v="59"/>
      <x v="8"/>
      <x v="4"/>
      <x v="11"/>
      <x v="19"/>
    </i>
    <i t="default">
      <x v="9"/>
    </i>
    <i>
      <x v="10"/>
      <x/>
      <x v="3"/>
      <x v="2"/>
      <x/>
      <x v="29"/>
      <x v="3"/>
      <x v="30"/>
      <x v="3"/>
      <x v="12"/>
      <x v="5"/>
      <x v="8"/>
    </i>
    <i r="2">
      <x v="4"/>
      <x v="2"/>
      <x/>
      <x v="29"/>
      <x v="3"/>
      <x v="30"/>
      <x v="3"/>
      <x v="12"/>
      <x v="5"/>
      <x v="8"/>
    </i>
    <i r="2">
      <x v="5"/>
      <x v="2"/>
      <x/>
      <x v="29"/>
      <x v="3"/>
      <x v="30"/>
      <x v="3"/>
      <x v="12"/>
      <x v="5"/>
      <x v="8"/>
    </i>
    <i t="default">
      <x v="10"/>
    </i>
    <i>
      <x v="11"/>
      <x/>
      <x v="6"/>
      <x v="2"/>
      <x/>
      <x v="30"/>
      <x v="3"/>
      <x v="29"/>
      <x v="3"/>
      <x v="12"/>
      <x v="5"/>
      <x v="8"/>
    </i>
    <i r="2">
      <x v="7"/>
      <x v="2"/>
      <x/>
      <x v="30"/>
      <x v="3"/>
      <x v="29"/>
      <x v="3"/>
      <x v="12"/>
      <x v="5"/>
      <x v="8"/>
    </i>
    <i r="2">
      <x v="8"/>
      <x v="2"/>
      <x/>
      <x v="30"/>
      <x v="3"/>
      <x v="29"/>
      <x v="3"/>
      <x v="12"/>
      <x v="5"/>
      <x v="8"/>
    </i>
    <i t="default">
      <x v="11"/>
    </i>
    <i t="grand">
      <x/>
    </i>
  </rowItems>
  <colItems count="1">
    <i/>
  </colItems>
  <formats count="1945">
    <format dxfId="1944">
      <pivotArea dataOnly="0" outline="0" fieldPosition="0">
        <references count="1">
          <reference field="5" count="0" defaultSubtotal="1"/>
        </references>
      </pivotArea>
    </format>
    <format dxfId="1943">
      <pivotArea dataOnly="0" labelOnly="1" outline="0" fieldPosition="0">
        <references count="1">
          <reference field="5" count="0"/>
        </references>
      </pivotArea>
    </format>
    <format dxfId="1942">
      <pivotArea dataOnly="0" outline="0" fieldPosition="0">
        <references count="1">
          <reference field="5" count="0" defaultSubtotal="1"/>
        </references>
      </pivotArea>
    </format>
    <format dxfId="1941">
      <pivotArea dataOnly="0" labelOnly="1" outline="0" fieldPosition="0">
        <references count="1">
          <reference field="5" count="0"/>
        </references>
      </pivotArea>
    </format>
    <format dxfId="1940">
      <pivotArea dataOnly="0" labelOnly="1" outline="0" fieldPosition="0">
        <references count="3">
          <reference field="0" count="6">
            <x v="9"/>
            <x v="10"/>
            <x v="11"/>
            <x v="12"/>
            <x v="13"/>
            <x v="14"/>
          </reference>
          <reference field="4" count="1" selected="0">
            <x v="2"/>
          </reference>
          <reference field="5" count="1" selected="0">
            <x v="0"/>
          </reference>
        </references>
      </pivotArea>
    </format>
    <format dxfId="1939">
      <pivotArea dataOnly="0" labelOnly="1" outline="0" fieldPosition="0">
        <references count="3">
          <reference field="0" count="6">
            <x v="15"/>
            <x v="16"/>
            <x v="17"/>
            <x v="18"/>
            <x v="19"/>
            <x v="20"/>
          </reference>
          <reference field="4" count="1" selected="0">
            <x v="2"/>
          </reference>
          <reference field="5" count="1" selected="0">
            <x v="1"/>
          </reference>
        </references>
      </pivotArea>
    </format>
    <format dxfId="1938">
      <pivotArea dataOnly="0" labelOnly="1" outline="0" fieldPosition="0">
        <references count="3">
          <reference field="0" count="6">
            <x v="21"/>
            <x v="22"/>
            <x v="23"/>
            <x v="24"/>
            <x v="25"/>
            <x v="26"/>
          </reference>
          <reference field="4" count="1" selected="0">
            <x v="2"/>
          </reference>
          <reference field="5" count="1" selected="0">
            <x v="2"/>
          </reference>
        </references>
      </pivotArea>
    </format>
    <format dxfId="1937">
      <pivotArea dataOnly="0" labelOnly="1" outline="0" fieldPosition="0">
        <references count="3">
          <reference field="0" count="6">
            <x v="27"/>
            <x v="28"/>
            <x v="29"/>
            <x v="30"/>
            <x v="31"/>
            <x v="32"/>
          </reference>
          <reference field="4" count="1" selected="0">
            <x v="2"/>
          </reference>
          <reference field="5" count="1" selected="0">
            <x v="3"/>
          </reference>
        </references>
      </pivotArea>
    </format>
    <format dxfId="1936">
      <pivotArea dataOnly="0" labelOnly="1" outline="0" fieldPosition="0">
        <references count="3">
          <reference field="0" count="6">
            <x v="33"/>
            <x v="34"/>
            <x v="35"/>
            <x v="36"/>
            <x v="37"/>
            <x v="38"/>
          </reference>
          <reference field="4" count="1" selected="0">
            <x v="1"/>
          </reference>
          <reference field="5" count="1" selected="0">
            <x v="4"/>
          </reference>
        </references>
      </pivotArea>
    </format>
    <format dxfId="1935">
      <pivotArea dataOnly="0" labelOnly="1" outline="0" fieldPosition="0">
        <references count="3">
          <reference field="0" count="6">
            <x v="39"/>
            <x v="40"/>
            <x v="43"/>
            <x v="44"/>
            <x v="49"/>
            <x v="50"/>
          </reference>
          <reference field="4" count="1" selected="0">
            <x v="1"/>
          </reference>
          <reference field="5" count="1" selected="0">
            <x v="5"/>
          </reference>
        </references>
      </pivotArea>
    </format>
    <format dxfId="1934">
      <pivotArea dataOnly="0" labelOnly="1" outline="0" fieldPosition="0">
        <references count="3">
          <reference field="0" count="6">
            <x v="52"/>
            <x v="53"/>
            <x v="58"/>
            <x v="59"/>
            <x v="64"/>
            <x v="65"/>
          </reference>
          <reference field="4" count="1" selected="0">
            <x v="1"/>
          </reference>
          <reference field="5" count="1" selected="0">
            <x v="6"/>
          </reference>
        </references>
      </pivotArea>
    </format>
    <format dxfId="1933">
      <pivotArea dataOnly="0" labelOnly="1" outline="0" fieldPosition="0">
        <references count="3">
          <reference field="0" count="3">
            <x v="67"/>
            <x v="68"/>
            <x v="69"/>
          </reference>
          <reference field="4" count="1" selected="0">
            <x v="0"/>
          </reference>
          <reference field="5" count="1" selected="0">
            <x v="7"/>
          </reference>
        </references>
      </pivotArea>
    </format>
    <format dxfId="1932">
      <pivotArea dataOnly="0" labelOnly="1" outline="0" fieldPosition="0">
        <references count="3">
          <reference field="0" count="3">
            <x v="70"/>
            <x v="71"/>
            <x v="72"/>
          </reference>
          <reference field="4" count="1" selected="0">
            <x v="0"/>
          </reference>
          <reference field="5" count="1" selected="0">
            <x v="8"/>
          </reference>
        </references>
      </pivotArea>
    </format>
    <format dxfId="1931">
      <pivotArea dataOnly="0" labelOnly="1" outline="0" fieldPosition="0">
        <references count="3">
          <reference field="0" count="3">
            <x v="0"/>
            <x v="1"/>
            <x v="2"/>
          </reference>
          <reference field="4" count="1" selected="0">
            <x v="0"/>
          </reference>
          <reference field="5" count="1" selected="0">
            <x v="9"/>
          </reference>
        </references>
      </pivotArea>
    </format>
    <format dxfId="1930">
      <pivotArea dataOnly="0" labelOnly="1" outline="0" fieldPosition="0">
        <references count="5">
          <reference field="0" count="1" selected="0">
            <x v="9"/>
          </reference>
          <reference field="4" count="1" selected="0">
            <x v="2"/>
          </reference>
          <reference field="5" count="1" selected="0">
            <x v="0"/>
          </reference>
          <reference field="8" count="1" selected="0">
            <x v="6"/>
          </reference>
          <reference field="11" count="1">
            <x v="4"/>
          </reference>
        </references>
      </pivotArea>
    </format>
    <format dxfId="1929">
      <pivotArea dataOnly="0" labelOnly="1" outline="0" fieldPosition="0">
        <references count="5">
          <reference field="0" count="1" selected="0">
            <x v="12"/>
          </reference>
          <reference field="4" count="1" selected="0">
            <x v="2"/>
          </reference>
          <reference field="5" count="1" selected="0">
            <x v="0"/>
          </reference>
          <reference field="8" count="1" selected="0">
            <x v="7"/>
          </reference>
          <reference field="11" count="1">
            <x v="0"/>
          </reference>
        </references>
      </pivotArea>
    </format>
    <format dxfId="1928">
      <pivotArea dataOnly="0" labelOnly="1" outline="0" fieldPosition="0">
        <references count="5">
          <reference field="0" count="1" selected="0">
            <x v="13"/>
          </reference>
          <reference field="4" count="1" selected="0">
            <x v="2"/>
          </reference>
          <reference field="5" count="1" selected="0">
            <x v="0"/>
          </reference>
          <reference field="8" count="1" selected="0">
            <x v="7"/>
          </reference>
          <reference field="11" count="1">
            <x v="1"/>
          </reference>
        </references>
      </pivotArea>
    </format>
    <format dxfId="1927">
      <pivotArea dataOnly="0" labelOnly="1" outline="0" fieldPosition="0">
        <references count="5">
          <reference field="0" count="1" selected="0">
            <x v="14"/>
          </reference>
          <reference field="4" count="1" selected="0">
            <x v="2"/>
          </reference>
          <reference field="5" count="1" selected="0">
            <x v="0"/>
          </reference>
          <reference field="8" count="1" selected="0">
            <x v="5"/>
          </reference>
          <reference field="11" count="1">
            <x v="7"/>
          </reference>
        </references>
      </pivotArea>
    </format>
    <format dxfId="1926">
      <pivotArea dataOnly="0" labelOnly="1" outline="0" fieldPosition="0">
        <references count="5">
          <reference field="0" count="1" selected="0">
            <x v="15"/>
          </reference>
          <reference field="4" count="1" selected="0">
            <x v="2"/>
          </reference>
          <reference field="5" count="1" selected="0">
            <x v="1"/>
          </reference>
          <reference field="8" count="1" selected="0">
            <x v="1"/>
          </reference>
          <reference field="11" count="1">
            <x v="7"/>
          </reference>
        </references>
      </pivotArea>
    </format>
    <format dxfId="1925">
      <pivotArea dataOnly="0" labelOnly="1" outline="0" fieldPosition="0">
        <references count="5">
          <reference field="0" count="1" selected="0">
            <x v="21"/>
          </reference>
          <reference field="4" count="1" selected="0">
            <x v="2"/>
          </reference>
          <reference field="5" count="1" selected="0">
            <x v="2"/>
          </reference>
          <reference field="8" count="1" selected="0">
            <x v="6"/>
          </reference>
          <reference field="11" count="1">
            <x v="2"/>
          </reference>
        </references>
      </pivotArea>
    </format>
    <format dxfId="1924">
      <pivotArea dataOnly="0" labelOnly="1" outline="0" fieldPosition="0">
        <references count="5">
          <reference field="0" count="1" selected="0">
            <x v="22"/>
          </reference>
          <reference field="4" count="1" selected="0">
            <x v="2"/>
          </reference>
          <reference field="5" count="1" selected="0">
            <x v="2"/>
          </reference>
          <reference field="8" count="1" selected="0">
            <x v="6"/>
          </reference>
          <reference field="11" count="1">
            <x v="4"/>
          </reference>
        </references>
      </pivotArea>
    </format>
    <format dxfId="1923">
      <pivotArea dataOnly="0" labelOnly="1" outline="0" fieldPosition="0">
        <references count="5">
          <reference field="0" count="1" selected="0">
            <x v="24"/>
          </reference>
          <reference field="4" count="1" selected="0">
            <x v="2"/>
          </reference>
          <reference field="5" count="1" selected="0">
            <x v="2"/>
          </reference>
          <reference field="8" count="1" selected="0">
            <x v="7"/>
          </reference>
          <reference field="11" count="1">
            <x v="0"/>
          </reference>
        </references>
      </pivotArea>
    </format>
    <format dxfId="1922">
      <pivotArea dataOnly="0" labelOnly="1" outline="0" fieldPosition="0">
        <references count="5">
          <reference field="0" count="1" selected="0">
            <x v="25"/>
          </reference>
          <reference field="4" count="1" selected="0">
            <x v="2"/>
          </reference>
          <reference field="5" count="1" selected="0">
            <x v="2"/>
          </reference>
          <reference field="8" count="1" selected="0">
            <x v="3"/>
          </reference>
          <reference field="11" count="1">
            <x v="1"/>
          </reference>
        </references>
      </pivotArea>
    </format>
    <format dxfId="1921">
      <pivotArea dataOnly="0" labelOnly="1" outline="0" fieldPosition="0">
        <references count="5">
          <reference field="0" count="1" selected="0">
            <x v="26"/>
          </reference>
          <reference field="4" count="1" selected="0">
            <x v="2"/>
          </reference>
          <reference field="5" count="1" selected="0">
            <x v="2"/>
          </reference>
          <reference field="8" count="1" selected="0">
            <x v="5"/>
          </reference>
          <reference field="11" count="1">
            <x v="7"/>
          </reference>
        </references>
      </pivotArea>
    </format>
    <format dxfId="1920">
      <pivotArea dataOnly="0" labelOnly="1" outline="0" fieldPosition="0">
        <references count="5">
          <reference field="0" count="1" selected="0">
            <x v="27"/>
          </reference>
          <reference field="4" count="1" selected="0">
            <x v="2"/>
          </reference>
          <reference field="5" count="1" selected="0">
            <x v="3"/>
          </reference>
          <reference field="8" count="1" selected="0">
            <x v="7"/>
          </reference>
          <reference field="11" count="1">
            <x v="6"/>
          </reference>
        </references>
      </pivotArea>
    </format>
    <format dxfId="1919">
      <pivotArea dataOnly="0" labelOnly="1" outline="0" fieldPosition="0">
        <references count="5">
          <reference field="0" count="1" selected="0">
            <x v="29"/>
          </reference>
          <reference field="4" count="1" selected="0">
            <x v="2"/>
          </reference>
          <reference field="5" count="1" selected="0">
            <x v="3"/>
          </reference>
          <reference field="8" count="1" selected="0">
            <x v="3"/>
          </reference>
          <reference field="11" count="1">
            <x v="4"/>
          </reference>
        </references>
      </pivotArea>
    </format>
    <format dxfId="1918">
      <pivotArea dataOnly="0" labelOnly="1" outline="0" fieldPosition="0">
        <references count="5">
          <reference field="0" count="1" selected="0">
            <x v="30"/>
          </reference>
          <reference field="4" count="1" selected="0">
            <x v="2"/>
          </reference>
          <reference field="5" count="1" selected="0">
            <x v="3"/>
          </reference>
          <reference field="8" count="1" selected="0">
            <x v="4"/>
          </reference>
          <reference field="11" count="1">
            <x v="0"/>
          </reference>
        </references>
      </pivotArea>
    </format>
    <format dxfId="1917">
      <pivotArea dataOnly="0" labelOnly="1" outline="0" fieldPosition="0">
        <references count="5">
          <reference field="0" count="1" selected="0">
            <x v="31"/>
          </reference>
          <reference field="4" count="1" selected="0">
            <x v="2"/>
          </reference>
          <reference field="5" count="1" selected="0">
            <x v="3"/>
          </reference>
          <reference field="8" count="1" selected="0">
            <x v="0"/>
          </reference>
          <reference field="11" count="1">
            <x v="6"/>
          </reference>
        </references>
      </pivotArea>
    </format>
    <format dxfId="1916">
      <pivotArea dataOnly="0" labelOnly="1" outline="0" fieldPosition="0">
        <references count="5">
          <reference field="0" count="1" selected="0">
            <x v="33"/>
          </reference>
          <reference field="4" count="1" selected="0">
            <x v="1"/>
          </reference>
          <reference field="5" count="1" selected="0">
            <x v="4"/>
          </reference>
          <reference field="8" count="1" selected="0">
            <x v="5"/>
          </reference>
          <reference field="11" count="1">
            <x v="7"/>
          </reference>
        </references>
      </pivotArea>
    </format>
    <format dxfId="1915">
      <pivotArea dataOnly="0" labelOnly="1" outline="0" fieldPosition="0">
        <references count="5">
          <reference field="0" count="1" selected="0">
            <x v="35"/>
          </reference>
          <reference field="4" count="1" selected="0">
            <x v="1"/>
          </reference>
          <reference field="5" count="1" selected="0">
            <x v="4"/>
          </reference>
          <reference field="8" count="1" selected="0">
            <x v="3"/>
          </reference>
          <reference field="11" count="1">
            <x v="4"/>
          </reference>
        </references>
      </pivotArea>
    </format>
    <format dxfId="1914">
      <pivotArea dataOnly="0" labelOnly="1" outline="0" fieldPosition="0">
        <references count="5">
          <reference field="0" count="1" selected="0">
            <x v="37"/>
          </reference>
          <reference field="4" count="1" selected="0">
            <x v="1"/>
          </reference>
          <reference field="5" count="1" selected="0">
            <x v="4"/>
          </reference>
          <reference field="8" count="1" selected="0">
            <x v="5"/>
          </reference>
          <reference field="11" count="1">
            <x v="7"/>
          </reference>
        </references>
      </pivotArea>
    </format>
    <format dxfId="1913">
      <pivotArea dataOnly="0" labelOnly="1" outline="0" fieldPosition="0">
        <references count="5">
          <reference field="0" count="1" selected="0">
            <x v="38"/>
          </reference>
          <reference field="4" count="1" selected="0">
            <x v="1"/>
          </reference>
          <reference field="5" count="1" selected="0">
            <x v="4"/>
          </reference>
          <reference field="8" count="1" selected="0">
            <x v="4"/>
          </reference>
          <reference field="11" count="1">
            <x v="0"/>
          </reference>
        </references>
      </pivotArea>
    </format>
    <format dxfId="1912">
      <pivotArea dataOnly="0" labelOnly="1" outline="0" fieldPosition="0">
        <references count="5">
          <reference field="0" count="1" selected="0">
            <x v="39"/>
          </reference>
          <reference field="4" count="1" selected="0">
            <x v="1"/>
          </reference>
          <reference field="5" count="1" selected="0">
            <x v="5"/>
          </reference>
          <reference field="8" count="1" selected="0">
            <x v="3"/>
          </reference>
          <reference field="11" count="1">
            <x v="4"/>
          </reference>
        </references>
      </pivotArea>
    </format>
    <format dxfId="1911">
      <pivotArea dataOnly="0" labelOnly="1" outline="0" fieldPosition="0">
        <references count="5">
          <reference field="0" count="1" selected="0">
            <x v="40"/>
          </reference>
          <reference field="4" count="1" selected="0">
            <x v="1"/>
          </reference>
          <reference field="5" count="1" selected="0">
            <x v="5"/>
          </reference>
          <reference field="8" count="1" selected="0">
            <x v="6"/>
          </reference>
          <reference field="11" count="1">
            <x v="0"/>
          </reference>
        </references>
      </pivotArea>
    </format>
    <format dxfId="1910">
      <pivotArea dataOnly="0" labelOnly="1" outline="0" fieldPosition="0">
        <references count="5">
          <reference field="0" count="1" selected="0">
            <x v="43"/>
          </reference>
          <reference field="4" count="1" selected="0">
            <x v="1"/>
          </reference>
          <reference field="5" count="1" selected="0">
            <x v="5"/>
          </reference>
          <reference field="8" count="1" selected="0">
            <x v="6"/>
          </reference>
          <reference field="11" count="1">
            <x v="1"/>
          </reference>
        </references>
      </pivotArea>
    </format>
    <format dxfId="1909">
      <pivotArea dataOnly="0" labelOnly="1" outline="0" fieldPosition="0">
        <references count="5">
          <reference field="0" count="1" selected="0">
            <x v="49"/>
          </reference>
          <reference field="4" count="1" selected="0">
            <x v="1"/>
          </reference>
          <reference field="5" count="1" selected="0">
            <x v="5"/>
          </reference>
          <reference field="8" count="1" selected="0">
            <x v="3"/>
          </reference>
          <reference field="11" count="1">
            <x v="4"/>
          </reference>
        </references>
      </pivotArea>
    </format>
    <format dxfId="1908">
      <pivotArea dataOnly="0" labelOnly="1" outline="0" fieldPosition="0">
        <references count="5">
          <reference field="0" count="1" selected="0">
            <x v="52"/>
          </reference>
          <reference field="4" count="1" selected="0">
            <x v="1"/>
          </reference>
          <reference field="5" count="1" selected="0">
            <x v="6"/>
          </reference>
          <reference field="8" count="1" selected="0">
            <x v="3"/>
          </reference>
          <reference field="11" count="1">
            <x v="4"/>
          </reference>
        </references>
      </pivotArea>
    </format>
    <format dxfId="1907">
      <pivotArea dataOnly="0" labelOnly="1" outline="0" fieldPosition="0">
        <references count="5">
          <reference field="0" count="1" selected="0">
            <x v="53"/>
          </reference>
          <reference field="4" count="1" selected="0">
            <x v="1"/>
          </reference>
          <reference field="5" count="1" selected="0">
            <x v="6"/>
          </reference>
          <reference field="8" count="1" selected="0">
            <x v="6"/>
          </reference>
          <reference field="11" count="1">
            <x v="0"/>
          </reference>
        </references>
      </pivotArea>
    </format>
    <format dxfId="1906">
      <pivotArea dataOnly="0" labelOnly="1" outline="0" fieldPosition="0">
        <references count="5">
          <reference field="0" count="1" selected="0">
            <x v="58"/>
          </reference>
          <reference field="4" count="1" selected="0">
            <x v="1"/>
          </reference>
          <reference field="5" count="1" selected="0">
            <x v="6"/>
          </reference>
          <reference field="8" count="1" selected="0">
            <x v="3"/>
          </reference>
          <reference field="11" count="1">
            <x v="4"/>
          </reference>
        </references>
      </pivotArea>
    </format>
    <format dxfId="1905">
      <pivotArea dataOnly="0" labelOnly="1" outline="0" fieldPosition="0">
        <references count="5">
          <reference field="0" count="1" selected="0">
            <x v="64"/>
          </reference>
          <reference field="4" count="1" selected="0">
            <x v="1"/>
          </reference>
          <reference field="5" count="1" selected="0">
            <x v="6"/>
          </reference>
          <reference field="8" count="1" selected="0">
            <x v="7"/>
          </reference>
          <reference field="11" count="1">
            <x v="0"/>
          </reference>
        </references>
      </pivotArea>
    </format>
    <format dxfId="1904">
      <pivotArea dataOnly="0" labelOnly="1" outline="0" fieldPosition="0">
        <references count="5">
          <reference field="0" count="1" selected="0">
            <x v="65"/>
          </reference>
          <reference field="4" count="1" selected="0">
            <x v="1"/>
          </reference>
          <reference field="5" count="1" selected="0">
            <x v="6"/>
          </reference>
          <reference field="8" count="1" selected="0">
            <x v="3"/>
          </reference>
          <reference field="11" count="1">
            <x v="6"/>
          </reference>
        </references>
      </pivotArea>
    </format>
    <format dxfId="1903">
      <pivotArea dataOnly="0" labelOnly="1" outline="0" fieldPosition="0">
        <references count="5">
          <reference field="0" count="1" selected="0">
            <x v="67"/>
          </reference>
          <reference field="4" count="1" selected="0">
            <x v="0"/>
          </reference>
          <reference field="5" count="1" selected="0">
            <x v="7"/>
          </reference>
          <reference field="8" count="1" selected="0">
            <x v="2"/>
          </reference>
          <reference field="11" count="1">
            <x v="0"/>
          </reference>
        </references>
      </pivotArea>
    </format>
    <format dxfId="1902">
      <pivotArea dataOnly="0" labelOnly="1" outline="0" fieldPosition="0">
        <references count="5">
          <reference field="0" count="1" selected="0">
            <x v="68"/>
          </reference>
          <reference field="4" count="1" selected="0">
            <x v="0"/>
          </reference>
          <reference field="5" count="1" selected="0">
            <x v="7"/>
          </reference>
          <reference field="8" count="1" selected="0">
            <x v="2"/>
          </reference>
          <reference field="11" count="1">
            <x v="1"/>
          </reference>
        </references>
      </pivotArea>
    </format>
    <format dxfId="1901">
      <pivotArea dataOnly="0" labelOnly="1" outline="0" fieldPosition="0">
        <references count="5">
          <reference field="0" count="1" selected="0">
            <x v="69"/>
          </reference>
          <reference field="4" count="1" selected="0">
            <x v="0"/>
          </reference>
          <reference field="5" count="1" selected="0">
            <x v="7"/>
          </reference>
          <reference field="8" count="1" selected="0">
            <x v="2"/>
          </reference>
          <reference field="11" count="1">
            <x v="0"/>
          </reference>
        </references>
      </pivotArea>
    </format>
    <format dxfId="1900">
      <pivotArea dataOnly="0" labelOnly="1" outline="0" fieldPosition="0">
        <references count="5">
          <reference field="0" count="1" selected="0">
            <x v="70"/>
          </reference>
          <reference field="4" count="1" selected="0">
            <x v="0"/>
          </reference>
          <reference field="5" count="1" selected="0">
            <x v="8"/>
          </reference>
          <reference field="8" count="1" selected="0">
            <x v="2"/>
          </reference>
          <reference field="11" count="1">
            <x v="0"/>
          </reference>
        </references>
      </pivotArea>
    </format>
    <format dxfId="1899">
      <pivotArea dataOnly="0" labelOnly="1" outline="0" fieldPosition="0">
        <references count="5">
          <reference field="0" count="1" selected="0">
            <x v="71"/>
          </reference>
          <reference field="4" count="1" selected="0">
            <x v="0"/>
          </reference>
          <reference field="5" count="1" selected="0">
            <x v="8"/>
          </reference>
          <reference field="8" count="1" selected="0">
            <x v="2"/>
          </reference>
          <reference field="11" count="1">
            <x v="5"/>
          </reference>
        </references>
      </pivotArea>
    </format>
    <format dxfId="1898">
      <pivotArea dataOnly="0" labelOnly="1" outline="0" fieldPosition="0">
        <references count="5">
          <reference field="0" count="1" selected="0">
            <x v="72"/>
          </reference>
          <reference field="4" count="1" selected="0">
            <x v="0"/>
          </reference>
          <reference field="5" count="1" selected="0">
            <x v="8"/>
          </reference>
          <reference field="8" count="1" selected="0">
            <x v="2"/>
          </reference>
          <reference field="11" count="1">
            <x v="0"/>
          </reference>
        </references>
      </pivotArea>
    </format>
    <format dxfId="1897">
      <pivotArea dataOnly="0" labelOnly="1" outline="0" fieldPosition="0">
        <references count="5">
          <reference field="0" count="1" selected="0">
            <x v="0"/>
          </reference>
          <reference field="4" count="1" selected="0">
            <x v="0"/>
          </reference>
          <reference field="5" count="1" selected="0">
            <x v="9"/>
          </reference>
          <reference field="8" count="1" selected="0">
            <x v="2"/>
          </reference>
          <reference field="11" count="1">
            <x v="0"/>
          </reference>
        </references>
      </pivotArea>
    </format>
    <format dxfId="1896">
      <pivotArea dataOnly="0" labelOnly="1" outline="0" fieldPosition="0">
        <references count="5">
          <reference field="0" count="1" selected="0">
            <x v="1"/>
          </reference>
          <reference field="4" count="1" selected="0">
            <x v="0"/>
          </reference>
          <reference field="5" count="1" selected="0">
            <x v="9"/>
          </reference>
          <reference field="8" count="1" selected="0">
            <x v="2"/>
          </reference>
          <reference field="11" count="1">
            <x v="5"/>
          </reference>
        </references>
      </pivotArea>
    </format>
    <format dxfId="1895">
      <pivotArea dataOnly="0" labelOnly="1" outline="0" fieldPosition="0">
        <references count="5">
          <reference field="0" count="1" selected="0">
            <x v="2"/>
          </reference>
          <reference field="4" count="1" selected="0">
            <x v="0"/>
          </reference>
          <reference field="5" count="1" selected="0">
            <x v="9"/>
          </reference>
          <reference field="8" count="1" selected="0">
            <x v="2"/>
          </reference>
          <reference field="11" count="1">
            <x v="0"/>
          </reference>
        </references>
      </pivotArea>
    </format>
    <format dxfId="1894">
      <pivotArea dataOnly="0" labelOnly="1" outline="0" fieldPosition="0">
        <references count="6">
          <reference field="0" count="1" selected="0">
            <x v="9"/>
          </reference>
          <reference field="4" count="1" selected="0">
            <x v="2"/>
          </reference>
          <reference field="5" count="1" selected="0">
            <x v="0"/>
          </reference>
          <reference field="8" count="1" selected="0">
            <x v="6"/>
          </reference>
          <reference field="11" count="1" selected="0">
            <x v="4"/>
          </reference>
          <reference field="13" count="1">
            <x v="5"/>
          </reference>
        </references>
      </pivotArea>
    </format>
    <format dxfId="1893">
      <pivotArea dataOnly="0" labelOnly="1" outline="0" fieldPosition="0">
        <references count="6">
          <reference field="0" count="1" selected="0">
            <x v="10"/>
          </reference>
          <reference field="4" count="1" selected="0">
            <x v="2"/>
          </reference>
          <reference field="5" count="1" selected="0">
            <x v="0"/>
          </reference>
          <reference field="8" count="1" selected="0">
            <x v="6"/>
          </reference>
          <reference field="11" count="1" selected="0">
            <x v="4"/>
          </reference>
          <reference field="13" count="1">
            <x v="19"/>
          </reference>
        </references>
      </pivotArea>
    </format>
    <format dxfId="1892">
      <pivotArea dataOnly="0" labelOnly="1" outline="0" fieldPosition="0">
        <references count="6">
          <reference field="0" count="1" selected="0">
            <x v="11"/>
          </reference>
          <reference field="4" count="1" selected="0">
            <x v="2"/>
          </reference>
          <reference field="5" count="1" selected="0">
            <x v="0"/>
          </reference>
          <reference field="8" count="1" selected="0">
            <x v="3"/>
          </reference>
          <reference field="11" count="1" selected="0">
            <x v="4"/>
          </reference>
          <reference field="13" count="1">
            <x v="21"/>
          </reference>
        </references>
      </pivotArea>
    </format>
    <format dxfId="1891">
      <pivotArea dataOnly="0" labelOnly="1" outline="0" fieldPosition="0">
        <references count="6">
          <reference field="0" count="1" selected="0">
            <x v="12"/>
          </reference>
          <reference field="4" count="1" selected="0">
            <x v="2"/>
          </reference>
          <reference field="5" count="1" selected="0">
            <x v="0"/>
          </reference>
          <reference field="8" count="1" selected="0">
            <x v="7"/>
          </reference>
          <reference field="11" count="1" selected="0">
            <x v="0"/>
          </reference>
          <reference field="13" count="2">
            <x v="7"/>
            <x v="8"/>
          </reference>
        </references>
      </pivotArea>
    </format>
    <format dxfId="1890">
      <pivotArea dataOnly="0" labelOnly="1" outline="0" fieldPosition="0">
        <references count="6">
          <reference field="0" count="1" selected="0">
            <x v="13"/>
          </reference>
          <reference field="4" count="1" selected="0">
            <x v="2"/>
          </reference>
          <reference field="5" count="1" selected="0">
            <x v="0"/>
          </reference>
          <reference field="8" count="1" selected="0">
            <x v="7"/>
          </reference>
          <reference field="11" count="1" selected="0">
            <x v="0"/>
          </reference>
          <reference field="13" count="1">
            <x v="34"/>
          </reference>
        </references>
      </pivotArea>
    </format>
    <format dxfId="1889">
      <pivotArea dataOnly="0" labelOnly="1" outline="0" fieldPosition="0">
        <references count="6">
          <reference field="0" count="1" selected="0">
            <x v="13"/>
          </reference>
          <reference field="4" count="1" selected="0">
            <x v="2"/>
          </reference>
          <reference field="5" count="1" selected="0">
            <x v="0"/>
          </reference>
          <reference field="8" count="1" selected="0">
            <x v="7"/>
          </reference>
          <reference field="11" count="1" selected="0">
            <x v="1"/>
          </reference>
          <reference field="13" count="1">
            <x v="24"/>
          </reference>
        </references>
      </pivotArea>
    </format>
    <format dxfId="1888">
      <pivotArea dataOnly="0" labelOnly="1" outline="0" fieldPosition="0">
        <references count="6">
          <reference field="0" count="1" selected="0">
            <x v="14"/>
          </reference>
          <reference field="4" count="1" selected="0">
            <x v="2"/>
          </reference>
          <reference field="5" count="1" selected="0">
            <x v="0"/>
          </reference>
          <reference field="8" count="1" selected="0">
            <x v="5"/>
          </reference>
          <reference field="11" count="1" selected="0">
            <x v="7"/>
          </reference>
          <reference field="13" count="1">
            <x v="18"/>
          </reference>
        </references>
      </pivotArea>
    </format>
    <format dxfId="1887">
      <pivotArea dataOnly="0" labelOnly="1" outline="0" fieldPosition="0">
        <references count="6">
          <reference field="0" count="1" selected="0">
            <x v="15"/>
          </reference>
          <reference field="4" count="1" selected="0">
            <x v="2"/>
          </reference>
          <reference field="5" count="1" selected="0">
            <x v="1"/>
          </reference>
          <reference field="8" count="1" selected="0">
            <x v="1"/>
          </reference>
          <reference field="11" count="1" selected="0">
            <x v="7"/>
          </reference>
          <reference field="13" count="1">
            <x v="2"/>
          </reference>
        </references>
      </pivotArea>
    </format>
    <format dxfId="1886">
      <pivotArea dataOnly="0" labelOnly="1" outline="0" fieldPosition="0">
        <references count="6">
          <reference field="0" count="1" selected="0">
            <x v="16"/>
          </reference>
          <reference field="4" count="1" selected="0">
            <x v="2"/>
          </reference>
          <reference field="5" count="1" selected="0">
            <x v="1"/>
          </reference>
          <reference field="8" count="1" selected="0">
            <x v="1"/>
          </reference>
          <reference field="11" count="1" selected="0">
            <x v="7"/>
          </reference>
          <reference field="13" count="1">
            <x v="2"/>
          </reference>
        </references>
      </pivotArea>
    </format>
    <format dxfId="1885">
      <pivotArea dataOnly="0" labelOnly="1" outline="0" fieldPosition="0">
        <references count="6">
          <reference field="0" count="1" selected="0">
            <x v="17"/>
          </reference>
          <reference field="4" count="1" selected="0">
            <x v="2"/>
          </reference>
          <reference field="5" count="1" selected="0">
            <x v="1"/>
          </reference>
          <reference field="8" count="1" selected="0">
            <x v="1"/>
          </reference>
          <reference field="11" count="1" selected="0">
            <x v="7"/>
          </reference>
          <reference field="13" count="1">
            <x v="2"/>
          </reference>
        </references>
      </pivotArea>
    </format>
    <format dxfId="1884">
      <pivotArea dataOnly="0" labelOnly="1" outline="0" fieldPosition="0">
        <references count="6">
          <reference field="0" count="1" selected="0">
            <x v="18"/>
          </reference>
          <reference field="4" count="1" selected="0">
            <x v="2"/>
          </reference>
          <reference field="5" count="1" selected="0">
            <x v="1"/>
          </reference>
          <reference field="8" count="1" selected="0">
            <x v="1"/>
          </reference>
          <reference field="11" count="1" selected="0">
            <x v="7"/>
          </reference>
          <reference field="13" count="1">
            <x v="2"/>
          </reference>
        </references>
      </pivotArea>
    </format>
    <format dxfId="1883">
      <pivotArea dataOnly="0" labelOnly="1" outline="0" fieldPosition="0">
        <references count="6">
          <reference field="0" count="1" selected="0">
            <x v="19"/>
          </reference>
          <reference field="4" count="1" selected="0">
            <x v="2"/>
          </reference>
          <reference field="5" count="1" selected="0">
            <x v="1"/>
          </reference>
          <reference field="8" count="1" selected="0">
            <x v="1"/>
          </reference>
          <reference field="11" count="1" selected="0">
            <x v="7"/>
          </reference>
          <reference field="13" count="1">
            <x v="2"/>
          </reference>
        </references>
      </pivotArea>
    </format>
    <format dxfId="1882">
      <pivotArea dataOnly="0" labelOnly="1" outline="0" fieldPosition="0">
        <references count="6">
          <reference field="0" count="1" selected="0">
            <x v="20"/>
          </reference>
          <reference field="4" count="1" selected="0">
            <x v="2"/>
          </reference>
          <reference field="5" count="1" selected="0">
            <x v="1"/>
          </reference>
          <reference field="8" count="1" selected="0">
            <x v="1"/>
          </reference>
          <reference field="11" count="1" selected="0">
            <x v="7"/>
          </reference>
          <reference field="13" count="1">
            <x v="2"/>
          </reference>
        </references>
      </pivotArea>
    </format>
    <format dxfId="1881">
      <pivotArea dataOnly="0" labelOnly="1" outline="0" fieldPosition="0">
        <references count="6">
          <reference field="0" count="1" selected="0">
            <x v="21"/>
          </reference>
          <reference field="4" count="1" selected="0">
            <x v="2"/>
          </reference>
          <reference field="5" count="1" selected="0">
            <x v="2"/>
          </reference>
          <reference field="8" count="1" selected="0">
            <x v="6"/>
          </reference>
          <reference field="11" count="1" selected="0">
            <x v="2"/>
          </reference>
          <reference field="13" count="1">
            <x v="4"/>
          </reference>
        </references>
      </pivotArea>
    </format>
    <format dxfId="1880">
      <pivotArea dataOnly="0" labelOnly="1" outline="0" fieldPosition="0">
        <references count="6">
          <reference field="0" count="1" selected="0">
            <x v="22"/>
          </reference>
          <reference field="4" count="1" selected="0">
            <x v="2"/>
          </reference>
          <reference field="5" count="1" selected="0">
            <x v="2"/>
          </reference>
          <reference field="8" count="1" selected="0">
            <x v="6"/>
          </reference>
          <reference field="11" count="1" selected="0">
            <x v="4"/>
          </reference>
          <reference field="13" count="1">
            <x v="20"/>
          </reference>
        </references>
      </pivotArea>
    </format>
    <format dxfId="1879">
      <pivotArea dataOnly="0" labelOnly="1" outline="0" fieldPosition="0">
        <references count="6">
          <reference field="0" count="1" selected="0">
            <x v="23"/>
          </reference>
          <reference field="4" count="1" selected="0">
            <x v="2"/>
          </reference>
          <reference field="5" count="1" selected="0">
            <x v="2"/>
          </reference>
          <reference field="8" count="1" selected="0">
            <x v="3"/>
          </reference>
          <reference field="11" count="1" selected="0">
            <x v="4"/>
          </reference>
          <reference field="13" count="1">
            <x v="22"/>
          </reference>
        </references>
      </pivotArea>
    </format>
    <format dxfId="1878">
      <pivotArea dataOnly="0" labelOnly="1" outline="0" fieldPosition="0">
        <references count="6">
          <reference field="0" count="1" selected="0">
            <x v="24"/>
          </reference>
          <reference field="4" count="1" selected="0">
            <x v="2"/>
          </reference>
          <reference field="5" count="1" selected="0">
            <x v="2"/>
          </reference>
          <reference field="8" count="1" selected="0">
            <x v="7"/>
          </reference>
          <reference field="11" count="1" selected="0">
            <x v="0"/>
          </reference>
          <reference field="13" count="2">
            <x v="10"/>
            <x v="25"/>
          </reference>
        </references>
      </pivotArea>
    </format>
    <format dxfId="1877">
      <pivotArea dataOnly="0" labelOnly="1" outline="0" fieldPosition="0">
        <references count="6">
          <reference field="0" count="1" selected="0">
            <x v="25"/>
          </reference>
          <reference field="4" count="1" selected="0">
            <x v="2"/>
          </reference>
          <reference field="5" count="1" selected="0">
            <x v="2"/>
          </reference>
          <reference field="8" count="1" selected="0">
            <x v="3"/>
          </reference>
          <reference field="11" count="1" selected="0">
            <x v="0"/>
          </reference>
          <reference field="13" count="1">
            <x v="34"/>
          </reference>
        </references>
      </pivotArea>
    </format>
    <format dxfId="1876">
      <pivotArea dataOnly="0" labelOnly="1" outline="0" fieldPosition="0">
        <references count="6">
          <reference field="0" count="1" selected="0">
            <x v="25"/>
          </reference>
          <reference field="4" count="1" selected="0">
            <x v="2"/>
          </reference>
          <reference field="5" count="1" selected="0">
            <x v="2"/>
          </reference>
          <reference field="8" count="1" selected="0">
            <x v="3"/>
          </reference>
          <reference field="11" count="1" selected="0">
            <x v="1"/>
          </reference>
          <reference field="13" count="1">
            <x v="24"/>
          </reference>
        </references>
      </pivotArea>
    </format>
    <format dxfId="1875">
      <pivotArea dataOnly="0" labelOnly="1" outline="0" fieldPosition="0">
        <references count="6">
          <reference field="0" count="1" selected="0">
            <x v="26"/>
          </reference>
          <reference field="4" count="1" selected="0">
            <x v="2"/>
          </reference>
          <reference field="5" count="1" selected="0">
            <x v="2"/>
          </reference>
          <reference field="8" count="1" selected="0">
            <x v="5"/>
          </reference>
          <reference field="11" count="1" selected="0">
            <x v="7"/>
          </reference>
          <reference field="13" count="1">
            <x v="18"/>
          </reference>
        </references>
      </pivotArea>
    </format>
    <format dxfId="1874">
      <pivotArea dataOnly="0" labelOnly="1" outline="0" fieldPosition="0">
        <references count="6">
          <reference field="0" count="1" selected="0">
            <x v="27"/>
          </reference>
          <reference field="4" count="1" selected="0">
            <x v="2"/>
          </reference>
          <reference field="5" count="1" selected="0">
            <x v="3"/>
          </reference>
          <reference field="8" count="1" selected="0">
            <x v="7"/>
          </reference>
          <reference field="11" count="1" selected="0">
            <x v="6"/>
          </reference>
          <reference field="13" count="1">
            <x v="33"/>
          </reference>
        </references>
      </pivotArea>
    </format>
    <format dxfId="1873">
      <pivotArea dataOnly="0" labelOnly="1" outline="0" fieldPosition="0">
        <references count="6">
          <reference field="0" count="1" selected="0">
            <x v="28"/>
          </reference>
          <reference field="4" count="1" selected="0">
            <x v="2"/>
          </reference>
          <reference field="5" count="1" selected="0">
            <x v="3"/>
          </reference>
          <reference field="8" count="1" selected="0">
            <x v="7"/>
          </reference>
          <reference field="11" count="1" selected="0">
            <x v="6"/>
          </reference>
          <reference field="13" count="1">
            <x v="15"/>
          </reference>
        </references>
      </pivotArea>
    </format>
    <format dxfId="1872">
      <pivotArea dataOnly="0" labelOnly="1" outline="0" fieldPosition="0">
        <references count="6">
          <reference field="0" count="1" selected="0">
            <x v="29"/>
          </reference>
          <reference field="4" count="1" selected="0">
            <x v="2"/>
          </reference>
          <reference field="5" count="1" selected="0">
            <x v="3"/>
          </reference>
          <reference field="8" count="1" selected="0">
            <x v="3"/>
          </reference>
          <reference field="11" count="1" selected="0">
            <x v="4"/>
          </reference>
          <reference field="13" count="1">
            <x v="21"/>
          </reference>
        </references>
      </pivotArea>
    </format>
    <format dxfId="1871">
      <pivotArea dataOnly="0" labelOnly="1" outline="0" fieldPosition="0">
        <references count="6">
          <reference field="0" count="1" selected="0">
            <x v="30"/>
          </reference>
          <reference field="4" count="1" selected="0">
            <x v="2"/>
          </reference>
          <reference field="5" count="1" selected="0">
            <x v="3"/>
          </reference>
          <reference field="8" count="1" selected="0">
            <x v="4"/>
          </reference>
          <reference field="11" count="1" selected="0">
            <x v="0"/>
          </reference>
          <reference field="13" count="2">
            <x v="7"/>
            <x v="8"/>
          </reference>
        </references>
      </pivotArea>
    </format>
    <format dxfId="1870">
      <pivotArea dataOnly="0" labelOnly="1" outline="0" fieldPosition="0">
        <references count="6">
          <reference field="0" count="1" selected="0">
            <x v="31"/>
          </reference>
          <reference field="4" count="1" selected="0">
            <x v="2"/>
          </reference>
          <reference field="5" count="1" selected="0">
            <x v="3"/>
          </reference>
          <reference field="8" count="1" selected="0">
            <x v="0"/>
          </reference>
          <reference field="11" count="1" selected="0">
            <x v="6"/>
          </reference>
          <reference field="13" count="1">
            <x v="26"/>
          </reference>
        </references>
      </pivotArea>
    </format>
    <format dxfId="1869">
      <pivotArea dataOnly="0" labelOnly="1" outline="0" fieldPosition="0">
        <references count="6">
          <reference field="0" count="1" selected="0">
            <x v="32"/>
          </reference>
          <reference field="4" count="1" selected="0">
            <x v="2"/>
          </reference>
          <reference field="5" count="1" selected="0">
            <x v="3"/>
          </reference>
          <reference field="8" count="1" selected="0">
            <x v="0"/>
          </reference>
          <reference field="11" count="1" selected="0">
            <x v="6"/>
          </reference>
          <reference field="13" count="1">
            <x v="27"/>
          </reference>
        </references>
      </pivotArea>
    </format>
    <format dxfId="1868">
      <pivotArea dataOnly="0" labelOnly="1" outline="0" fieldPosition="0">
        <references count="6">
          <reference field="0" count="1" selected="0">
            <x v="33"/>
          </reference>
          <reference field="4" count="1" selected="0">
            <x v="1"/>
          </reference>
          <reference field="5" count="1" selected="0">
            <x v="4"/>
          </reference>
          <reference field="8" count="1" selected="0">
            <x v="5"/>
          </reference>
          <reference field="11" count="1" selected="0">
            <x v="7"/>
          </reference>
          <reference field="13" count="1">
            <x v="0"/>
          </reference>
        </references>
      </pivotArea>
    </format>
    <format dxfId="1867">
      <pivotArea dataOnly="0" labelOnly="1" outline="0" fieldPosition="0">
        <references count="6">
          <reference field="0" count="1" selected="0">
            <x v="34"/>
          </reference>
          <reference field="4" count="1" selected="0">
            <x v="1"/>
          </reference>
          <reference field="5" count="1" selected="0">
            <x v="4"/>
          </reference>
          <reference field="8" count="1" selected="0">
            <x v="5"/>
          </reference>
          <reference field="11" count="1" selected="0">
            <x v="7"/>
          </reference>
          <reference field="13" count="1">
            <x v="0"/>
          </reference>
        </references>
      </pivotArea>
    </format>
    <format dxfId="1866">
      <pivotArea dataOnly="0" labelOnly="1" outline="0" fieldPosition="0">
        <references count="6">
          <reference field="0" count="1" selected="0">
            <x v="35"/>
          </reference>
          <reference field="4" count="1" selected="0">
            <x v="1"/>
          </reference>
          <reference field="5" count="1" selected="0">
            <x v="4"/>
          </reference>
          <reference field="8" count="1" selected="0">
            <x v="3"/>
          </reference>
          <reference field="11" count="1" selected="0">
            <x v="4"/>
          </reference>
          <reference field="13" count="1">
            <x v="31"/>
          </reference>
        </references>
      </pivotArea>
    </format>
    <format dxfId="1865">
      <pivotArea dataOnly="0" labelOnly="1" outline="0" fieldPosition="0">
        <references count="6">
          <reference field="0" count="1" selected="0">
            <x v="36"/>
          </reference>
          <reference field="4" count="1" selected="0">
            <x v="1"/>
          </reference>
          <reference field="5" count="1" selected="0">
            <x v="4"/>
          </reference>
          <reference field="8" count="1" selected="0">
            <x v="3"/>
          </reference>
          <reference field="11" count="1" selected="0">
            <x v="4"/>
          </reference>
          <reference field="13" count="1">
            <x v="16"/>
          </reference>
        </references>
      </pivotArea>
    </format>
    <format dxfId="1864">
      <pivotArea dataOnly="0" labelOnly="1" outline="0" fieldPosition="0">
        <references count="6">
          <reference field="0" count="1" selected="0">
            <x v="37"/>
          </reference>
          <reference field="4" count="1" selected="0">
            <x v="1"/>
          </reference>
          <reference field="5" count="1" selected="0">
            <x v="4"/>
          </reference>
          <reference field="8" count="1" selected="0">
            <x v="5"/>
          </reference>
          <reference field="11" count="1" selected="0">
            <x v="7"/>
          </reference>
          <reference field="13" count="1">
            <x v="18"/>
          </reference>
        </references>
      </pivotArea>
    </format>
    <format dxfId="1863">
      <pivotArea dataOnly="0" labelOnly="1" outline="0" fieldPosition="0">
        <references count="6">
          <reference field="0" count="1" selected="0">
            <x v="38"/>
          </reference>
          <reference field="4" count="1" selected="0">
            <x v="1"/>
          </reference>
          <reference field="5" count="1" selected="0">
            <x v="4"/>
          </reference>
          <reference field="8" count="1" selected="0">
            <x v="4"/>
          </reference>
          <reference field="11" count="1" selected="0">
            <x v="0"/>
          </reference>
          <reference field="13" count="3">
            <x v="3"/>
            <x v="10"/>
            <x v="25"/>
          </reference>
        </references>
      </pivotArea>
    </format>
    <format dxfId="1862">
      <pivotArea dataOnly="0" labelOnly="1" outline="0" fieldPosition="0">
        <references count="6">
          <reference field="0" count="1" selected="0">
            <x v="39"/>
          </reference>
          <reference field="4" count="1" selected="0">
            <x v="1"/>
          </reference>
          <reference field="5" count="1" selected="0">
            <x v="5"/>
          </reference>
          <reference field="8" count="1" selected="0">
            <x v="3"/>
          </reference>
          <reference field="11" count="1" selected="0">
            <x v="4"/>
          </reference>
          <reference field="13" count="1">
            <x v="17"/>
          </reference>
        </references>
      </pivotArea>
    </format>
    <format dxfId="1861">
      <pivotArea dataOnly="0" labelOnly="1" outline="0" fieldPosition="0">
        <references count="6">
          <reference field="0" count="1" selected="0">
            <x v="40"/>
          </reference>
          <reference field="4" count="1" selected="0">
            <x v="1"/>
          </reference>
          <reference field="5" count="1" selected="0">
            <x v="5"/>
          </reference>
          <reference field="8" count="1" selected="0">
            <x v="6"/>
          </reference>
          <reference field="11" count="1" selected="0">
            <x v="0"/>
          </reference>
          <reference field="13" count="1">
            <x v="34"/>
          </reference>
        </references>
      </pivotArea>
    </format>
    <format dxfId="1860">
      <pivotArea dataOnly="0" labelOnly="1" outline="0" fieldPosition="0">
        <references count="6">
          <reference field="0" count="1" selected="0">
            <x v="43"/>
          </reference>
          <reference field="4" count="1" selected="0">
            <x v="1"/>
          </reference>
          <reference field="5" count="1" selected="0">
            <x v="5"/>
          </reference>
          <reference field="8" count="1" selected="0">
            <x v="6"/>
          </reference>
          <reference field="11" count="1" selected="0">
            <x v="1"/>
          </reference>
          <reference field="13" count="1">
            <x v="1"/>
          </reference>
        </references>
      </pivotArea>
    </format>
    <format dxfId="1859">
      <pivotArea dataOnly="0" labelOnly="1" outline="0" fieldPosition="0">
        <references count="6">
          <reference field="0" count="1" selected="0">
            <x v="44"/>
          </reference>
          <reference field="4" count="1" selected="0">
            <x v="1"/>
          </reference>
          <reference field="5" count="1" selected="0">
            <x v="5"/>
          </reference>
          <reference field="8" count="1" selected="0">
            <x v="6"/>
          </reference>
          <reference field="11" count="1" selected="0">
            <x v="1"/>
          </reference>
          <reference field="13" count="2">
            <x v="4"/>
            <x v="5"/>
          </reference>
        </references>
      </pivotArea>
    </format>
    <format dxfId="1858">
      <pivotArea dataOnly="0" labelOnly="1" outline="0" fieldPosition="0">
        <references count="6">
          <reference field="0" count="1" selected="0">
            <x v="49"/>
          </reference>
          <reference field="4" count="1" selected="0">
            <x v="1"/>
          </reference>
          <reference field="5" count="1" selected="0">
            <x v="5"/>
          </reference>
          <reference field="8" count="1" selected="0">
            <x v="3"/>
          </reference>
          <reference field="11" count="1" selected="0">
            <x v="4"/>
          </reference>
          <reference field="13" count="1">
            <x v="28"/>
          </reference>
        </references>
      </pivotArea>
    </format>
    <format dxfId="1857">
      <pivotArea dataOnly="0" labelOnly="1" outline="0" fieldPosition="0">
        <references count="6">
          <reference field="0" count="1" selected="0">
            <x v="50"/>
          </reference>
          <reference field="4" count="1" selected="0">
            <x v="1"/>
          </reference>
          <reference field="5" count="1" selected="0">
            <x v="5"/>
          </reference>
          <reference field="8" count="1" selected="0">
            <x v="3"/>
          </reference>
          <reference field="11" count="1" selected="0">
            <x v="4"/>
          </reference>
          <reference field="13" count="1">
            <x v="35"/>
          </reference>
        </references>
      </pivotArea>
    </format>
    <format dxfId="1856">
      <pivotArea dataOnly="0" labelOnly="1" outline="0" fieldPosition="0">
        <references count="6">
          <reference field="0" count="1" selected="0">
            <x v="52"/>
          </reference>
          <reference field="4" count="1" selected="0">
            <x v="1"/>
          </reference>
          <reference field="5" count="1" selected="0">
            <x v="6"/>
          </reference>
          <reference field="8" count="1" selected="0">
            <x v="3"/>
          </reference>
          <reference field="11" count="1" selected="0">
            <x v="4"/>
          </reference>
          <reference field="13" count="1">
            <x v="17"/>
          </reference>
        </references>
      </pivotArea>
    </format>
    <format dxfId="1855">
      <pivotArea dataOnly="0" labelOnly="1" outline="0" fieldPosition="0">
        <references count="6">
          <reference field="0" count="1" selected="0">
            <x v="53"/>
          </reference>
          <reference field="4" count="1" selected="0">
            <x v="1"/>
          </reference>
          <reference field="5" count="1" selected="0">
            <x v="6"/>
          </reference>
          <reference field="8" count="1" selected="0">
            <x v="6"/>
          </reference>
          <reference field="11" count="1" selected="0">
            <x v="0"/>
          </reference>
          <reference field="13" count="1">
            <x v="34"/>
          </reference>
        </references>
      </pivotArea>
    </format>
    <format dxfId="1854">
      <pivotArea dataOnly="0" labelOnly="1" outline="0" fieldPosition="0">
        <references count="6">
          <reference field="0" count="1" selected="0">
            <x v="58"/>
          </reference>
          <reference field="4" count="1" selected="0">
            <x v="1"/>
          </reference>
          <reference field="5" count="1" selected="0">
            <x v="6"/>
          </reference>
          <reference field="8" count="1" selected="0">
            <x v="3"/>
          </reference>
          <reference field="11" count="1" selected="0">
            <x v="4"/>
          </reference>
          <reference field="13" count="1">
            <x v="9"/>
          </reference>
        </references>
      </pivotArea>
    </format>
    <format dxfId="1853">
      <pivotArea dataOnly="0" labelOnly="1" outline="0" fieldPosition="0">
        <references count="6">
          <reference field="0" count="1" selected="0">
            <x v="59"/>
          </reference>
          <reference field="4" count="1" selected="0">
            <x v="1"/>
          </reference>
          <reference field="5" count="1" selected="0">
            <x v="6"/>
          </reference>
          <reference field="8" count="1" selected="0">
            <x v="3"/>
          </reference>
          <reference field="11" count="1" selected="0">
            <x v="4"/>
          </reference>
          <reference field="13" count="1">
            <x v="9"/>
          </reference>
        </references>
      </pivotArea>
    </format>
    <format dxfId="1852">
      <pivotArea dataOnly="0" labelOnly="1" outline="0" fieldPosition="0">
        <references count="6">
          <reference field="0" count="1" selected="0">
            <x v="64"/>
          </reference>
          <reference field="4" count="1" selected="0">
            <x v="1"/>
          </reference>
          <reference field="5" count="1" selected="0">
            <x v="6"/>
          </reference>
          <reference field="8" count="1" selected="0">
            <x v="7"/>
          </reference>
          <reference field="11" count="1" selected="0">
            <x v="0"/>
          </reference>
          <reference field="13" count="2">
            <x v="10"/>
            <x v="25"/>
          </reference>
        </references>
      </pivotArea>
    </format>
    <format dxfId="1851">
      <pivotArea dataOnly="0" labelOnly="1" outline="0" fieldPosition="0">
        <references count="6">
          <reference field="0" count="1" selected="0">
            <x v="65"/>
          </reference>
          <reference field="4" count="1" selected="0">
            <x v="1"/>
          </reference>
          <reference field="5" count="1" selected="0">
            <x v="6"/>
          </reference>
          <reference field="8" count="1" selected="0">
            <x v="3"/>
          </reference>
          <reference field="11" count="1" selected="0">
            <x v="6"/>
          </reference>
          <reference field="13" count="1">
            <x v="11"/>
          </reference>
        </references>
      </pivotArea>
    </format>
    <format dxfId="1850">
      <pivotArea dataOnly="0" labelOnly="1" outline="0" fieldPosition="0">
        <references count="6">
          <reference field="0" count="1" selected="0">
            <x v="67"/>
          </reference>
          <reference field="4" count="1" selected="0">
            <x v="0"/>
          </reference>
          <reference field="5" count="1" selected="0">
            <x v="7"/>
          </reference>
          <reference field="8" count="1" selected="0">
            <x v="2"/>
          </reference>
          <reference field="11" count="1" selected="0">
            <x v="0"/>
          </reference>
          <reference field="13" count="1">
            <x v="12"/>
          </reference>
        </references>
      </pivotArea>
    </format>
    <format dxfId="1849">
      <pivotArea dataOnly="0" labelOnly="1" outline="0" fieldPosition="0">
        <references count="6">
          <reference field="0" count="1" selected="0">
            <x v="68"/>
          </reference>
          <reference field="4" count="1" selected="0">
            <x v="0"/>
          </reference>
          <reference field="5" count="1" selected="0">
            <x v="7"/>
          </reference>
          <reference field="8" count="1" selected="0">
            <x v="2"/>
          </reference>
          <reference field="11" count="1" selected="0">
            <x v="1"/>
          </reference>
          <reference field="13" count="1">
            <x v="13"/>
          </reference>
        </references>
      </pivotArea>
    </format>
    <format dxfId="1848">
      <pivotArea dataOnly="0" labelOnly="1" outline="0" fieldPosition="0">
        <references count="6">
          <reference field="0" count="1" selected="0">
            <x v="69"/>
          </reference>
          <reference field="4" count="1" selected="0">
            <x v="0"/>
          </reference>
          <reference field="5" count="1" selected="0">
            <x v="7"/>
          </reference>
          <reference field="8" count="1" selected="0">
            <x v="2"/>
          </reference>
          <reference field="11" count="1" selected="0">
            <x v="0"/>
          </reference>
          <reference field="13" count="1">
            <x v="12"/>
          </reference>
        </references>
      </pivotArea>
    </format>
    <format dxfId="1847">
      <pivotArea dataOnly="0" labelOnly="1" outline="0" fieldPosition="0">
        <references count="6">
          <reference field="0" count="1" selected="0">
            <x v="70"/>
          </reference>
          <reference field="4" count="1" selected="0">
            <x v="0"/>
          </reference>
          <reference field="5" count="1" selected="0">
            <x v="8"/>
          </reference>
          <reference field="8" count="1" selected="0">
            <x v="2"/>
          </reference>
          <reference field="11" count="1" selected="0">
            <x v="0"/>
          </reference>
          <reference field="13" count="1">
            <x v="8"/>
          </reference>
        </references>
      </pivotArea>
    </format>
    <format dxfId="1846">
      <pivotArea dataOnly="0" labelOnly="1" outline="0" fieldPosition="0">
        <references count="6">
          <reference field="0" count="1" selected="0">
            <x v="71"/>
          </reference>
          <reference field="4" count="1" selected="0">
            <x v="0"/>
          </reference>
          <reference field="5" count="1" selected="0">
            <x v="8"/>
          </reference>
          <reference field="8" count="1" selected="0">
            <x v="2"/>
          </reference>
          <reference field="11" count="1" selected="0">
            <x v="5"/>
          </reference>
          <reference field="13" count="1">
            <x v="35"/>
          </reference>
        </references>
      </pivotArea>
    </format>
    <format dxfId="1845">
      <pivotArea dataOnly="0" labelOnly="1" outline="0" fieldPosition="0">
        <references count="6">
          <reference field="0" count="1" selected="0">
            <x v="72"/>
          </reference>
          <reference field="4" count="1" selected="0">
            <x v="0"/>
          </reference>
          <reference field="5" count="1" selected="0">
            <x v="8"/>
          </reference>
          <reference field="8" count="1" selected="0">
            <x v="2"/>
          </reference>
          <reference field="11" count="1" selected="0">
            <x v="0"/>
          </reference>
          <reference field="13" count="1">
            <x v="6"/>
          </reference>
        </references>
      </pivotArea>
    </format>
    <format dxfId="1844">
      <pivotArea dataOnly="0" labelOnly="1" outline="0" fieldPosition="0">
        <references count="6">
          <reference field="0" count="1" selected="0">
            <x v="0"/>
          </reference>
          <reference field="4" count="1" selected="0">
            <x v="0"/>
          </reference>
          <reference field="5" count="1" selected="0">
            <x v="9"/>
          </reference>
          <reference field="8" count="1" selected="0">
            <x v="2"/>
          </reference>
          <reference field="11" count="1" selected="0">
            <x v="0"/>
          </reference>
          <reference field="13" count="1">
            <x v="32"/>
          </reference>
        </references>
      </pivotArea>
    </format>
    <format dxfId="1843">
      <pivotArea dataOnly="0" labelOnly="1" outline="0" fieldPosition="0">
        <references count="6">
          <reference field="0" count="1" selected="0">
            <x v="1"/>
          </reference>
          <reference field="4" count="1" selected="0">
            <x v="0"/>
          </reference>
          <reference field="5" count="1" selected="0">
            <x v="9"/>
          </reference>
          <reference field="8" count="1" selected="0">
            <x v="2"/>
          </reference>
          <reference field="11" count="1" selected="0">
            <x v="5"/>
          </reference>
          <reference field="13" count="1">
            <x v="14"/>
          </reference>
        </references>
      </pivotArea>
    </format>
    <format dxfId="1842">
      <pivotArea dataOnly="0" labelOnly="1" outline="0" fieldPosition="0">
        <references count="6">
          <reference field="0" count="1" selected="0">
            <x v="2"/>
          </reference>
          <reference field="4" count="1" selected="0">
            <x v="0"/>
          </reference>
          <reference field="5" count="1" selected="0">
            <x v="9"/>
          </reference>
          <reference field="8" count="1" selected="0">
            <x v="2"/>
          </reference>
          <reference field="11" count="1" selected="0">
            <x v="0"/>
          </reference>
          <reference field="13" count="1">
            <x v="32"/>
          </reference>
        </references>
      </pivotArea>
    </format>
    <format dxfId="1841">
      <pivotArea dataOnly="0" labelOnly="1" outline="0" fieldPosition="0">
        <references count="4">
          <reference field="0" count="1" selected="0">
            <x v="9"/>
          </reference>
          <reference field="4" count="1" selected="0">
            <x v="2"/>
          </reference>
          <reference field="5" count="1" selected="0">
            <x v="0"/>
          </reference>
          <reference field="8" count="1">
            <x v="6"/>
          </reference>
        </references>
      </pivotArea>
    </format>
    <format dxfId="1840">
      <pivotArea dataOnly="0" labelOnly="1" outline="0" fieldPosition="0">
        <references count="4">
          <reference field="0" count="1" selected="0">
            <x v="11"/>
          </reference>
          <reference field="4" count="1" selected="0">
            <x v="2"/>
          </reference>
          <reference field="5" count="1" selected="0">
            <x v="0"/>
          </reference>
          <reference field="8" count="1">
            <x v="3"/>
          </reference>
        </references>
      </pivotArea>
    </format>
    <format dxfId="1839">
      <pivotArea dataOnly="0" labelOnly="1" outline="0" fieldPosition="0">
        <references count="4">
          <reference field="0" count="1" selected="0">
            <x v="12"/>
          </reference>
          <reference field="4" count="1" selected="0">
            <x v="2"/>
          </reference>
          <reference field="5" count="1" selected="0">
            <x v="0"/>
          </reference>
          <reference field="8" count="1">
            <x v="7"/>
          </reference>
        </references>
      </pivotArea>
    </format>
    <format dxfId="1838">
      <pivotArea dataOnly="0" labelOnly="1" outline="0" fieldPosition="0">
        <references count="4">
          <reference field="0" count="1" selected="0">
            <x v="14"/>
          </reference>
          <reference field="4" count="1" selected="0">
            <x v="2"/>
          </reference>
          <reference field="5" count="1" selected="0">
            <x v="0"/>
          </reference>
          <reference field="8" count="1">
            <x v="5"/>
          </reference>
        </references>
      </pivotArea>
    </format>
    <format dxfId="1837">
      <pivotArea dataOnly="0" labelOnly="1" outline="0" fieldPosition="0">
        <references count="4">
          <reference field="0" count="1" selected="0">
            <x v="15"/>
          </reference>
          <reference field="4" count="1" selected="0">
            <x v="2"/>
          </reference>
          <reference field="5" count="1" selected="0">
            <x v="1"/>
          </reference>
          <reference field="8" count="1">
            <x v="1"/>
          </reference>
        </references>
      </pivotArea>
    </format>
    <format dxfId="1836">
      <pivotArea dataOnly="0" labelOnly="1" outline="0" fieldPosition="0">
        <references count="4">
          <reference field="0" count="1" selected="0">
            <x v="21"/>
          </reference>
          <reference field="4" count="1" selected="0">
            <x v="2"/>
          </reference>
          <reference field="5" count="1" selected="0">
            <x v="2"/>
          </reference>
          <reference field="8" count="1">
            <x v="6"/>
          </reference>
        </references>
      </pivotArea>
    </format>
    <format dxfId="1835">
      <pivotArea dataOnly="0" labelOnly="1" outline="0" fieldPosition="0">
        <references count="4">
          <reference field="0" count="1" selected="0">
            <x v="23"/>
          </reference>
          <reference field="4" count="1" selected="0">
            <x v="2"/>
          </reference>
          <reference field="5" count="1" selected="0">
            <x v="2"/>
          </reference>
          <reference field="8" count="1">
            <x v="3"/>
          </reference>
        </references>
      </pivotArea>
    </format>
    <format dxfId="1834">
      <pivotArea dataOnly="0" labelOnly="1" outline="0" fieldPosition="0">
        <references count="4">
          <reference field="0" count="1" selected="0">
            <x v="24"/>
          </reference>
          <reference field="4" count="1" selected="0">
            <x v="2"/>
          </reference>
          <reference field="5" count="1" selected="0">
            <x v="2"/>
          </reference>
          <reference field="8" count="1">
            <x v="7"/>
          </reference>
        </references>
      </pivotArea>
    </format>
    <format dxfId="1833">
      <pivotArea dataOnly="0" labelOnly="1" outline="0" fieldPosition="0">
        <references count="4">
          <reference field="0" count="1" selected="0">
            <x v="25"/>
          </reference>
          <reference field="4" count="1" selected="0">
            <x v="2"/>
          </reference>
          <reference field="5" count="1" selected="0">
            <x v="2"/>
          </reference>
          <reference field="8" count="1">
            <x v="3"/>
          </reference>
        </references>
      </pivotArea>
    </format>
    <format dxfId="1832">
      <pivotArea dataOnly="0" labelOnly="1" outline="0" fieldPosition="0">
        <references count="4">
          <reference field="0" count="1" selected="0">
            <x v="26"/>
          </reference>
          <reference field="4" count="1" selected="0">
            <x v="2"/>
          </reference>
          <reference field="5" count="1" selected="0">
            <x v="2"/>
          </reference>
          <reference field="8" count="1">
            <x v="5"/>
          </reference>
        </references>
      </pivotArea>
    </format>
    <format dxfId="1831">
      <pivotArea dataOnly="0" labelOnly="1" outline="0" fieldPosition="0">
        <references count="4">
          <reference field="0" count="1" selected="0">
            <x v="27"/>
          </reference>
          <reference field="4" count="1" selected="0">
            <x v="2"/>
          </reference>
          <reference field="5" count="1" selected="0">
            <x v="3"/>
          </reference>
          <reference field="8" count="1">
            <x v="7"/>
          </reference>
        </references>
      </pivotArea>
    </format>
    <format dxfId="1830">
      <pivotArea dataOnly="0" labelOnly="1" outline="0" fieldPosition="0">
        <references count="4">
          <reference field="0" count="1" selected="0">
            <x v="29"/>
          </reference>
          <reference field="4" count="1" selected="0">
            <x v="2"/>
          </reference>
          <reference field="5" count="1" selected="0">
            <x v="3"/>
          </reference>
          <reference field="8" count="1">
            <x v="3"/>
          </reference>
        </references>
      </pivotArea>
    </format>
    <format dxfId="1829">
      <pivotArea dataOnly="0" labelOnly="1" outline="0" fieldPosition="0">
        <references count="4">
          <reference field="0" count="1" selected="0">
            <x v="30"/>
          </reference>
          <reference field="4" count="1" selected="0">
            <x v="2"/>
          </reference>
          <reference field="5" count="1" selected="0">
            <x v="3"/>
          </reference>
          <reference field="8" count="1">
            <x v="4"/>
          </reference>
        </references>
      </pivotArea>
    </format>
    <format dxfId="1828">
      <pivotArea dataOnly="0" labelOnly="1" outline="0" fieldPosition="0">
        <references count="4">
          <reference field="0" count="1" selected="0">
            <x v="31"/>
          </reference>
          <reference field="4" count="1" selected="0">
            <x v="2"/>
          </reference>
          <reference field="5" count="1" selected="0">
            <x v="3"/>
          </reference>
          <reference field="8" count="1">
            <x v="0"/>
          </reference>
        </references>
      </pivotArea>
    </format>
    <format dxfId="1827">
      <pivotArea dataOnly="0" labelOnly="1" outline="0" fieldPosition="0">
        <references count="4">
          <reference field="0" count="1" selected="0">
            <x v="33"/>
          </reference>
          <reference field="4" count="1" selected="0">
            <x v="1"/>
          </reference>
          <reference field="5" count="1" selected="0">
            <x v="4"/>
          </reference>
          <reference field="8" count="1">
            <x v="5"/>
          </reference>
        </references>
      </pivotArea>
    </format>
    <format dxfId="1826">
      <pivotArea dataOnly="0" labelOnly="1" outline="0" fieldPosition="0">
        <references count="4">
          <reference field="0" count="1" selected="0">
            <x v="35"/>
          </reference>
          <reference field="4" count="1" selected="0">
            <x v="1"/>
          </reference>
          <reference field="5" count="1" selected="0">
            <x v="4"/>
          </reference>
          <reference field="8" count="1">
            <x v="3"/>
          </reference>
        </references>
      </pivotArea>
    </format>
    <format dxfId="1825">
      <pivotArea dataOnly="0" labelOnly="1" outline="0" fieldPosition="0">
        <references count="4">
          <reference field="0" count="1" selected="0">
            <x v="37"/>
          </reference>
          <reference field="4" count="1" selected="0">
            <x v="1"/>
          </reference>
          <reference field="5" count="1" selected="0">
            <x v="4"/>
          </reference>
          <reference field="8" count="1">
            <x v="5"/>
          </reference>
        </references>
      </pivotArea>
    </format>
    <format dxfId="1824">
      <pivotArea dataOnly="0" labelOnly="1" outline="0" fieldPosition="0">
        <references count="4">
          <reference field="0" count="1" selected="0">
            <x v="38"/>
          </reference>
          <reference field="4" count="1" selected="0">
            <x v="1"/>
          </reference>
          <reference field="5" count="1" selected="0">
            <x v="4"/>
          </reference>
          <reference field="8" count="1">
            <x v="4"/>
          </reference>
        </references>
      </pivotArea>
    </format>
    <format dxfId="1823">
      <pivotArea dataOnly="0" labelOnly="1" outline="0" fieldPosition="0">
        <references count="4">
          <reference field="0" count="1" selected="0">
            <x v="40"/>
          </reference>
          <reference field="4" count="1" selected="0">
            <x v="1"/>
          </reference>
          <reference field="5" count="1" selected="0">
            <x v="5"/>
          </reference>
          <reference field="8" count="1">
            <x v="6"/>
          </reference>
        </references>
      </pivotArea>
    </format>
    <format dxfId="1822">
      <pivotArea dataOnly="0" labelOnly="1" outline="0" fieldPosition="0">
        <references count="4">
          <reference field="0" count="1" selected="0">
            <x v="52"/>
          </reference>
          <reference field="4" count="1" selected="0">
            <x v="1"/>
          </reference>
          <reference field="5" count="1" selected="0">
            <x v="6"/>
          </reference>
          <reference field="8" count="1">
            <x v="3"/>
          </reference>
        </references>
      </pivotArea>
    </format>
    <format dxfId="1821">
      <pivotArea dataOnly="0" labelOnly="1" outline="0" fieldPosition="0">
        <references count="4">
          <reference field="0" count="1" selected="0">
            <x v="53"/>
          </reference>
          <reference field="4" count="1" selected="0">
            <x v="1"/>
          </reference>
          <reference field="5" count="1" selected="0">
            <x v="6"/>
          </reference>
          <reference field="8" count="1">
            <x v="6"/>
          </reference>
        </references>
      </pivotArea>
    </format>
    <format dxfId="1820">
      <pivotArea dataOnly="0" labelOnly="1" outline="0" fieldPosition="0">
        <references count="4">
          <reference field="0" count="1" selected="0">
            <x v="58"/>
          </reference>
          <reference field="4" count="1" selected="0">
            <x v="1"/>
          </reference>
          <reference field="5" count="1" selected="0">
            <x v="6"/>
          </reference>
          <reference field="8" count="1">
            <x v="3"/>
          </reference>
        </references>
      </pivotArea>
    </format>
    <format dxfId="1819">
      <pivotArea dataOnly="0" labelOnly="1" outline="0" fieldPosition="0">
        <references count="4">
          <reference field="0" count="1" selected="0">
            <x v="64"/>
          </reference>
          <reference field="4" count="1" selected="0">
            <x v="1"/>
          </reference>
          <reference field="5" count="1" selected="0">
            <x v="6"/>
          </reference>
          <reference field="8" count="1">
            <x v="7"/>
          </reference>
        </references>
      </pivotArea>
    </format>
    <format dxfId="1818">
      <pivotArea dataOnly="0" labelOnly="1" outline="0" fieldPosition="0">
        <references count="4">
          <reference field="0" count="1" selected="0">
            <x v="65"/>
          </reference>
          <reference field="4" count="1" selected="0">
            <x v="1"/>
          </reference>
          <reference field="5" count="1" selected="0">
            <x v="6"/>
          </reference>
          <reference field="8" count="1">
            <x v="3"/>
          </reference>
        </references>
      </pivotArea>
    </format>
    <format dxfId="1817">
      <pivotArea dataOnly="0" labelOnly="1" outline="0" fieldPosition="0">
        <references count="4">
          <reference field="0" count="1" selected="0">
            <x v="67"/>
          </reference>
          <reference field="4" count="1" selected="0">
            <x v="0"/>
          </reference>
          <reference field="5" count="1" selected="0">
            <x v="7"/>
          </reference>
          <reference field="8" count="1">
            <x v="2"/>
          </reference>
        </references>
      </pivotArea>
    </format>
    <format dxfId="1816">
      <pivotArea dataOnly="0" labelOnly="1" outline="0" fieldPosition="0">
        <references count="4">
          <reference field="0" count="1" selected="0">
            <x v="70"/>
          </reference>
          <reference field="4" count="1" selected="0">
            <x v="0"/>
          </reference>
          <reference field="5" count="1" selected="0">
            <x v="8"/>
          </reference>
          <reference field="8" count="1">
            <x v="2"/>
          </reference>
        </references>
      </pivotArea>
    </format>
    <format dxfId="1815">
      <pivotArea dataOnly="0" labelOnly="1" outline="0" fieldPosition="0">
        <references count="4">
          <reference field="0" count="1" selected="0">
            <x v="0"/>
          </reference>
          <reference field="4" count="1" selected="0">
            <x v="0"/>
          </reference>
          <reference field="5" count="1" selected="0">
            <x v="9"/>
          </reference>
          <reference field="8" count="1">
            <x v="2"/>
          </reference>
        </references>
      </pivotArea>
    </format>
    <format dxfId="1814">
      <pivotArea dataOnly="0" labelOnly="1" grandRow="1" outline="0" offset="D256:IV256" fieldPosition="0"/>
    </format>
    <format dxfId="1813">
      <pivotArea dataOnly="0" labelOnly="1" outline="0" fieldPosition="0">
        <references count="4">
          <reference field="0" count="1" selected="0">
            <x v="9"/>
          </reference>
          <reference field="4" count="1" selected="0">
            <x v="2"/>
          </reference>
          <reference field="5" count="1" selected="0">
            <x v="0"/>
          </reference>
          <reference field="8" count="1">
            <x v="6"/>
          </reference>
        </references>
      </pivotArea>
    </format>
    <format dxfId="1812">
      <pivotArea dataOnly="0" labelOnly="1" outline="0" fieldPosition="0">
        <references count="4">
          <reference field="0" count="1" selected="0">
            <x v="11"/>
          </reference>
          <reference field="4" count="1" selected="0">
            <x v="2"/>
          </reference>
          <reference field="5" count="1" selected="0">
            <x v="0"/>
          </reference>
          <reference field="8" count="1">
            <x v="3"/>
          </reference>
        </references>
      </pivotArea>
    </format>
    <format dxfId="1811">
      <pivotArea dataOnly="0" labelOnly="1" outline="0" fieldPosition="0">
        <references count="4">
          <reference field="0" count="1" selected="0">
            <x v="12"/>
          </reference>
          <reference field="4" count="1" selected="0">
            <x v="2"/>
          </reference>
          <reference field="5" count="1" selected="0">
            <x v="0"/>
          </reference>
          <reference field="8" count="1">
            <x v="7"/>
          </reference>
        </references>
      </pivotArea>
    </format>
    <format dxfId="1810">
      <pivotArea dataOnly="0" labelOnly="1" outline="0" fieldPosition="0">
        <references count="4">
          <reference field="0" count="1" selected="0">
            <x v="14"/>
          </reference>
          <reference field="4" count="1" selected="0">
            <x v="2"/>
          </reference>
          <reference field="5" count="1" selected="0">
            <x v="0"/>
          </reference>
          <reference field="8" count="1">
            <x v="5"/>
          </reference>
        </references>
      </pivotArea>
    </format>
    <format dxfId="1809">
      <pivotArea dataOnly="0" labelOnly="1" outline="0" fieldPosition="0">
        <references count="4">
          <reference field="0" count="1" selected="0">
            <x v="15"/>
          </reference>
          <reference field="4" count="1" selected="0">
            <x v="2"/>
          </reference>
          <reference field="5" count="1" selected="0">
            <x v="1"/>
          </reference>
          <reference field="8" count="1">
            <x v="1"/>
          </reference>
        </references>
      </pivotArea>
    </format>
    <format dxfId="1808">
      <pivotArea dataOnly="0" labelOnly="1" outline="0" fieldPosition="0">
        <references count="4">
          <reference field="0" count="1" selected="0">
            <x v="21"/>
          </reference>
          <reference field="4" count="1" selected="0">
            <x v="2"/>
          </reference>
          <reference field="5" count="1" selected="0">
            <x v="2"/>
          </reference>
          <reference field="8" count="1">
            <x v="6"/>
          </reference>
        </references>
      </pivotArea>
    </format>
    <format dxfId="1807">
      <pivotArea dataOnly="0" labelOnly="1" outline="0" fieldPosition="0">
        <references count="4">
          <reference field="0" count="1" selected="0">
            <x v="23"/>
          </reference>
          <reference field="4" count="1" selected="0">
            <x v="2"/>
          </reference>
          <reference field="5" count="1" selected="0">
            <x v="2"/>
          </reference>
          <reference field="8" count="1">
            <x v="3"/>
          </reference>
        </references>
      </pivotArea>
    </format>
    <format dxfId="1806">
      <pivotArea dataOnly="0" labelOnly="1" outline="0" fieldPosition="0">
        <references count="4">
          <reference field="0" count="1" selected="0">
            <x v="24"/>
          </reference>
          <reference field="4" count="1" selected="0">
            <x v="2"/>
          </reference>
          <reference field="5" count="1" selected="0">
            <x v="2"/>
          </reference>
          <reference field="8" count="1">
            <x v="7"/>
          </reference>
        </references>
      </pivotArea>
    </format>
    <format dxfId="1805">
      <pivotArea dataOnly="0" labelOnly="1" outline="0" fieldPosition="0">
        <references count="4">
          <reference field="0" count="1" selected="0">
            <x v="26"/>
          </reference>
          <reference field="4" count="1" selected="0">
            <x v="2"/>
          </reference>
          <reference field="5" count="1" selected="0">
            <x v="2"/>
          </reference>
          <reference field="8" count="1">
            <x v="5"/>
          </reference>
        </references>
      </pivotArea>
    </format>
    <format dxfId="1804">
      <pivotArea dataOnly="0" labelOnly="1" outline="0" fieldPosition="0">
        <references count="4">
          <reference field="0" count="1" selected="0">
            <x v="27"/>
          </reference>
          <reference field="4" count="1" selected="0">
            <x v="2"/>
          </reference>
          <reference field="5" count="1" selected="0">
            <x v="3"/>
          </reference>
          <reference field="8" count="1">
            <x v="7"/>
          </reference>
        </references>
      </pivotArea>
    </format>
    <format dxfId="1803">
      <pivotArea dataOnly="0" labelOnly="1" outline="0" fieldPosition="0">
        <references count="4">
          <reference field="0" count="1" selected="0">
            <x v="29"/>
          </reference>
          <reference field="4" count="1" selected="0">
            <x v="2"/>
          </reference>
          <reference field="5" count="1" selected="0">
            <x v="3"/>
          </reference>
          <reference field="8" count="1">
            <x v="3"/>
          </reference>
        </references>
      </pivotArea>
    </format>
    <format dxfId="1802">
      <pivotArea dataOnly="0" labelOnly="1" outline="0" fieldPosition="0">
        <references count="4">
          <reference field="0" count="1" selected="0">
            <x v="30"/>
          </reference>
          <reference field="4" count="1" selected="0">
            <x v="2"/>
          </reference>
          <reference field="5" count="1" selected="0">
            <x v="3"/>
          </reference>
          <reference field="8" count="1">
            <x v="4"/>
          </reference>
        </references>
      </pivotArea>
    </format>
    <format dxfId="1801">
      <pivotArea dataOnly="0" labelOnly="1" outline="0" fieldPosition="0">
        <references count="4">
          <reference field="0" count="1" selected="0">
            <x v="31"/>
          </reference>
          <reference field="4" count="1" selected="0">
            <x v="2"/>
          </reference>
          <reference field="5" count="1" selected="0">
            <x v="3"/>
          </reference>
          <reference field="8" count="1">
            <x v="0"/>
          </reference>
        </references>
      </pivotArea>
    </format>
    <format dxfId="1800">
      <pivotArea dataOnly="0" labelOnly="1" outline="0" fieldPosition="0">
        <references count="4">
          <reference field="0" count="1" selected="0">
            <x v="33"/>
          </reference>
          <reference field="4" count="1" selected="0">
            <x v="1"/>
          </reference>
          <reference field="5" count="1" selected="0">
            <x v="4"/>
          </reference>
          <reference field="8" count="1">
            <x v="5"/>
          </reference>
        </references>
      </pivotArea>
    </format>
    <format dxfId="1799">
      <pivotArea dataOnly="0" labelOnly="1" outline="0" fieldPosition="0">
        <references count="4">
          <reference field="0" count="1" selected="0">
            <x v="35"/>
          </reference>
          <reference field="4" count="1" selected="0">
            <x v="1"/>
          </reference>
          <reference field="5" count="1" selected="0">
            <x v="4"/>
          </reference>
          <reference field="8" count="1">
            <x v="3"/>
          </reference>
        </references>
      </pivotArea>
    </format>
    <format dxfId="1798">
      <pivotArea dataOnly="0" labelOnly="1" outline="0" fieldPosition="0">
        <references count="4">
          <reference field="0" count="1" selected="0">
            <x v="37"/>
          </reference>
          <reference field="4" count="1" selected="0">
            <x v="1"/>
          </reference>
          <reference field="5" count="1" selected="0">
            <x v="4"/>
          </reference>
          <reference field="8" count="1">
            <x v="5"/>
          </reference>
        </references>
      </pivotArea>
    </format>
    <format dxfId="1797">
      <pivotArea dataOnly="0" labelOnly="1" outline="0" fieldPosition="0">
        <references count="4">
          <reference field="0" count="1" selected="0">
            <x v="38"/>
          </reference>
          <reference field="4" count="1" selected="0">
            <x v="1"/>
          </reference>
          <reference field="5" count="1" selected="0">
            <x v="4"/>
          </reference>
          <reference field="8" count="1">
            <x v="4"/>
          </reference>
        </references>
      </pivotArea>
    </format>
    <format dxfId="1796">
      <pivotArea dataOnly="0" labelOnly="1" outline="0" fieldPosition="0">
        <references count="4">
          <reference field="0" count="1" selected="0">
            <x v="40"/>
          </reference>
          <reference field="4" count="1" selected="0">
            <x v="1"/>
          </reference>
          <reference field="5" count="1" selected="0">
            <x v="5"/>
          </reference>
          <reference field="8" count="1">
            <x v="6"/>
          </reference>
        </references>
      </pivotArea>
    </format>
    <format dxfId="1795">
      <pivotArea dataOnly="0" labelOnly="1" outline="0" fieldPosition="0">
        <references count="4">
          <reference field="0" count="1" selected="0">
            <x v="52"/>
          </reference>
          <reference field="4" count="1" selected="0">
            <x v="1"/>
          </reference>
          <reference field="5" count="1" selected="0">
            <x v="6"/>
          </reference>
          <reference field="8" count="1">
            <x v="3"/>
          </reference>
        </references>
      </pivotArea>
    </format>
    <format dxfId="1794">
      <pivotArea dataOnly="0" labelOnly="1" outline="0" fieldPosition="0">
        <references count="4">
          <reference field="0" count="1" selected="0">
            <x v="53"/>
          </reference>
          <reference field="4" count="1" selected="0">
            <x v="1"/>
          </reference>
          <reference field="5" count="1" selected="0">
            <x v="6"/>
          </reference>
          <reference field="8" count="1">
            <x v="6"/>
          </reference>
        </references>
      </pivotArea>
    </format>
    <format dxfId="1793">
      <pivotArea dataOnly="0" labelOnly="1" outline="0" fieldPosition="0">
        <references count="4">
          <reference field="0" count="1" selected="0">
            <x v="58"/>
          </reference>
          <reference field="4" count="1" selected="0">
            <x v="1"/>
          </reference>
          <reference field="5" count="1" selected="0">
            <x v="6"/>
          </reference>
          <reference field="8" count="1">
            <x v="3"/>
          </reference>
        </references>
      </pivotArea>
    </format>
    <format dxfId="1792">
      <pivotArea dataOnly="0" labelOnly="1" outline="0" fieldPosition="0">
        <references count="4">
          <reference field="0" count="1" selected="0">
            <x v="64"/>
          </reference>
          <reference field="4" count="1" selected="0">
            <x v="1"/>
          </reference>
          <reference field="5" count="1" selected="0">
            <x v="6"/>
          </reference>
          <reference field="8" count="1">
            <x v="7"/>
          </reference>
        </references>
      </pivotArea>
    </format>
    <format dxfId="1791">
      <pivotArea dataOnly="0" labelOnly="1" outline="0" fieldPosition="0">
        <references count="4">
          <reference field="0" count="1" selected="0">
            <x v="65"/>
          </reference>
          <reference field="4" count="1" selected="0">
            <x v="1"/>
          </reference>
          <reference field="5" count="1" selected="0">
            <x v="6"/>
          </reference>
          <reference field="8" count="1">
            <x v="3"/>
          </reference>
        </references>
      </pivotArea>
    </format>
    <format dxfId="1790">
      <pivotArea dataOnly="0" labelOnly="1" outline="0" fieldPosition="0">
        <references count="4">
          <reference field="0" count="1" selected="0">
            <x v="67"/>
          </reference>
          <reference field="4" count="1" selected="0">
            <x v="0"/>
          </reference>
          <reference field="5" count="1" selected="0">
            <x v="7"/>
          </reference>
          <reference field="8" count="1">
            <x v="2"/>
          </reference>
        </references>
      </pivotArea>
    </format>
    <format dxfId="1789">
      <pivotArea dataOnly="0" labelOnly="1" outline="0" fieldPosition="0">
        <references count="4">
          <reference field="0" count="1" selected="0">
            <x v="70"/>
          </reference>
          <reference field="4" count="1" selected="0">
            <x v="0"/>
          </reference>
          <reference field="5" count="1" selected="0">
            <x v="8"/>
          </reference>
          <reference field="8" count="1">
            <x v="2"/>
          </reference>
        </references>
      </pivotArea>
    </format>
    <format dxfId="1788">
      <pivotArea dataOnly="0" labelOnly="1" outline="0" fieldPosition="0">
        <references count="4">
          <reference field="0" count="1" selected="0">
            <x v="0"/>
          </reference>
          <reference field="4" count="1" selected="0">
            <x v="0"/>
          </reference>
          <reference field="5" count="1" selected="0">
            <x v="9"/>
          </reference>
          <reference field="8" count="1">
            <x v="2"/>
          </reference>
        </references>
      </pivotArea>
    </format>
    <format dxfId="1787">
      <pivotArea dataOnly="0" labelOnly="1" outline="0" fieldPosition="0">
        <references count="4">
          <reference field="0" count="1" selected="0">
            <x v="3"/>
          </reference>
          <reference field="4" count="1" selected="0">
            <x v="0"/>
          </reference>
          <reference field="5" count="1" selected="0">
            <x v="10"/>
          </reference>
          <reference field="8" count="1">
            <x v="2"/>
          </reference>
        </references>
      </pivotArea>
    </format>
    <format dxfId="1786">
      <pivotArea dataOnly="0" labelOnly="1" outline="0" fieldPosition="0">
        <references count="4">
          <reference field="0" count="1" selected="0">
            <x v="6"/>
          </reference>
          <reference field="4" count="1" selected="0">
            <x v="0"/>
          </reference>
          <reference field="5" count="1" selected="0">
            <x v="11"/>
          </reference>
          <reference field="8" count="1">
            <x v="2"/>
          </reference>
        </references>
      </pivotArea>
    </format>
    <format dxfId="1785">
      <pivotArea dataOnly="0" labelOnly="1" outline="0" fieldPosition="0">
        <references count="5">
          <reference field="0" count="1" selected="0">
            <x v="9"/>
          </reference>
          <reference field="4" count="1" selected="0">
            <x v="2"/>
          </reference>
          <reference field="5" count="1" selected="0">
            <x v="0"/>
          </reference>
          <reference field="8" count="1" selected="0">
            <x v="6"/>
          </reference>
          <reference field="12" count="1">
            <x v="16"/>
          </reference>
        </references>
      </pivotArea>
    </format>
    <format dxfId="1784">
      <pivotArea dataOnly="0" labelOnly="1" outline="0" fieldPosition="0">
        <references count="5">
          <reference field="0" count="1" selected="0">
            <x v="10"/>
          </reference>
          <reference field="4" count="1" selected="0">
            <x v="2"/>
          </reference>
          <reference field="5" count="1" selected="0">
            <x v="0"/>
          </reference>
          <reference field="8" count="1" selected="0">
            <x v="6"/>
          </reference>
          <reference field="12" count="1">
            <x v="14"/>
          </reference>
        </references>
      </pivotArea>
    </format>
    <format dxfId="1783">
      <pivotArea dataOnly="0" labelOnly="1" outline="0" fieldPosition="0">
        <references count="5">
          <reference field="0" count="1" selected="0">
            <x v="11"/>
          </reference>
          <reference field="4" count="1" selected="0">
            <x v="2"/>
          </reference>
          <reference field="5" count="1" selected="0">
            <x v="0"/>
          </reference>
          <reference field="8" count="1" selected="0">
            <x v="3"/>
          </reference>
          <reference field="12" count="1">
            <x v="11"/>
          </reference>
        </references>
      </pivotArea>
    </format>
    <format dxfId="1782">
      <pivotArea dataOnly="0" labelOnly="1" outline="0" fieldPosition="0">
        <references count="5">
          <reference field="0" count="1" selected="0">
            <x v="12"/>
          </reference>
          <reference field="4" count="1" selected="0">
            <x v="2"/>
          </reference>
          <reference field="5" count="1" selected="0">
            <x v="0"/>
          </reference>
          <reference field="8" count="1" selected="0">
            <x v="7"/>
          </reference>
          <reference field="12" count="2">
            <x v="5"/>
            <x v="8"/>
          </reference>
        </references>
      </pivotArea>
    </format>
    <format dxfId="1781">
      <pivotArea dataOnly="0" labelOnly="1" outline="0" fieldPosition="0">
        <references count="5">
          <reference field="0" count="1" selected="0">
            <x v="13"/>
          </reference>
          <reference field="4" count="1" selected="0">
            <x v="2"/>
          </reference>
          <reference field="5" count="1" selected="0">
            <x v="0"/>
          </reference>
          <reference field="8" count="1" selected="0">
            <x v="7"/>
          </reference>
          <reference field="12" count="2">
            <x v="15"/>
            <x v="18"/>
          </reference>
        </references>
      </pivotArea>
    </format>
    <format dxfId="1780">
      <pivotArea dataOnly="0" labelOnly="1" outline="0" fieldPosition="0">
        <references count="5">
          <reference field="0" count="1" selected="0">
            <x v="14"/>
          </reference>
          <reference field="4" count="1" selected="0">
            <x v="2"/>
          </reference>
          <reference field="5" count="1" selected="0">
            <x v="0"/>
          </reference>
          <reference field="8" count="1" selected="0">
            <x v="5"/>
          </reference>
          <reference field="12" count="1">
            <x v="34"/>
          </reference>
        </references>
      </pivotArea>
    </format>
    <format dxfId="1779">
      <pivotArea dataOnly="0" labelOnly="1" outline="0" fieldPosition="0">
        <references count="5">
          <reference field="0" count="1" selected="0">
            <x v="15"/>
          </reference>
          <reference field="4" count="1" selected="0">
            <x v="2"/>
          </reference>
          <reference field="5" count="1" selected="0">
            <x v="1"/>
          </reference>
          <reference field="8" count="1" selected="0">
            <x v="1"/>
          </reference>
          <reference field="12" count="1">
            <x v="33"/>
          </reference>
        </references>
      </pivotArea>
    </format>
    <format dxfId="1778">
      <pivotArea dataOnly="0" labelOnly="1" outline="0" fieldPosition="0">
        <references count="5">
          <reference field="0" count="1" selected="0">
            <x v="21"/>
          </reference>
          <reference field="4" count="1" selected="0">
            <x v="2"/>
          </reference>
          <reference field="5" count="1" selected="0">
            <x v="2"/>
          </reference>
          <reference field="8" count="1" selected="0">
            <x v="6"/>
          </reference>
          <reference field="12" count="1">
            <x v="13"/>
          </reference>
        </references>
      </pivotArea>
    </format>
    <format dxfId="1777">
      <pivotArea dataOnly="0" labelOnly="1" outline="0" fieldPosition="0">
        <references count="5">
          <reference field="0" count="1" selected="0">
            <x v="22"/>
          </reference>
          <reference field="4" count="1" selected="0">
            <x v="2"/>
          </reference>
          <reference field="5" count="1" selected="0">
            <x v="2"/>
          </reference>
          <reference field="8" count="1" selected="0">
            <x v="6"/>
          </reference>
          <reference field="12" count="1">
            <x v="17"/>
          </reference>
        </references>
      </pivotArea>
    </format>
    <format dxfId="1776">
      <pivotArea dataOnly="0" labelOnly="1" outline="0" fieldPosition="0">
        <references count="5">
          <reference field="0" count="1" selected="0">
            <x v="23"/>
          </reference>
          <reference field="4" count="1" selected="0">
            <x v="2"/>
          </reference>
          <reference field="5" count="1" selected="0">
            <x v="2"/>
          </reference>
          <reference field="8" count="1" selected="0">
            <x v="3"/>
          </reference>
          <reference field="12" count="1">
            <x v="19"/>
          </reference>
        </references>
      </pivotArea>
    </format>
    <format dxfId="1775">
      <pivotArea dataOnly="0" labelOnly="1" outline="0" fieldPosition="0">
        <references count="5">
          <reference field="0" count="1" selected="0">
            <x v="24"/>
          </reference>
          <reference field="4" count="1" selected="0">
            <x v="2"/>
          </reference>
          <reference field="5" count="1" selected="0">
            <x v="2"/>
          </reference>
          <reference field="8" count="1" selected="0">
            <x v="7"/>
          </reference>
          <reference field="12" count="2">
            <x v="0"/>
            <x v="1"/>
          </reference>
        </references>
      </pivotArea>
    </format>
    <format dxfId="1774">
      <pivotArea dataOnly="0" labelOnly="1" outline="0" fieldPosition="0">
        <references count="5">
          <reference field="0" count="1" selected="0">
            <x v="25"/>
          </reference>
          <reference field="4" count="1" selected="0">
            <x v="2"/>
          </reference>
          <reference field="5" count="1" selected="0">
            <x v="2"/>
          </reference>
          <reference field="8" count="1" selected="0">
            <x v="7"/>
          </reference>
          <reference field="12" count="2">
            <x v="15"/>
            <x v="18"/>
          </reference>
        </references>
      </pivotArea>
    </format>
    <format dxfId="1773">
      <pivotArea dataOnly="0" labelOnly="1" outline="0" fieldPosition="0">
        <references count="5">
          <reference field="0" count="1" selected="0">
            <x v="26"/>
          </reference>
          <reference field="4" count="1" selected="0">
            <x v="2"/>
          </reference>
          <reference field="5" count="1" selected="0">
            <x v="2"/>
          </reference>
          <reference field="8" count="1" selected="0">
            <x v="5"/>
          </reference>
          <reference field="12" count="1">
            <x v="34"/>
          </reference>
        </references>
      </pivotArea>
    </format>
    <format dxfId="1772">
      <pivotArea dataOnly="0" labelOnly="1" outline="0" fieldPosition="0">
        <references count="5">
          <reference field="0" count="1" selected="0">
            <x v="27"/>
          </reference>
          <reference field="4" count="1" selected="0">
            <x v="2"/>
          </reference>
          <reference field="5" count="1" selected="0">
            <x v="3"/>
          </reference>
          <reference field="8" count="1" selected="0">
            <x v="7"/>
          </reference>
          <reference field="12" count="1">
            <x v="6"/>
          </reference>
        </references>
      </pivotArea>
    </format>
    <format dxfId="1771">
      <pivotArea dataOnly="0" labelOnly="1" outline="0" fieldPosition="0">
        <references count="5">
          <reference field="0" count="1" selected="0">
            <x v="28"/>
          </reference>
          <reference field="4" count="1" selected="0">
            <x v="2"/>
          </reference>
          <reference field="5" count="1" selected="0">
            <x v="3"/>
          </reference>
          <reference field="8" count="1" selected="0">
            <x v="7"/>
          </reference>
          <reference field="12" count="1">
            <x v="7"/>
          </reference>
        </references>
      </pivotArea>
    </format>
    <format dxfId="1770">
      <pivotArea dataOnly="0" labelOnly="1" outline="0" fieldPosition="0">
        <references count="5">
          <reference field="0" count="1" selected="0">
            <x v="29"/>
          </reference>
          <reference field="4" count="1" selected="0">
            <x v="2"/>
          </reference>
          <reference field="5" count="1" selected="0">
            <x v="3"/>
          </reference>
          <reference field="8" count="1" selected="0">
            <x v="3"/>
          </reference>
          <reference field="12" count="1">
            <x v="11"/>
          </reference>
        </references>
      </pivotArea>
    </format>
    <format dxfId="1769">
      <pivotArea dataOnly="0" labelOnly="1" outline="0" fieldPosition="0">
        <references count="5">
          <reference field="0" count="1" selected="0">
            <x v="30"/>
          </reference>
          <reference field="4" count="1" selected="0">
            <x v="2"/>
          </reference>
          <reference field="5" count="1" selected="0">
            <x v="3"/>
          </reference>
          <reference field="8" count="1" selected="0">
            <x v="4"/>
          </reference>
          <reference field="12" count="2">
            <x v="5"/>
            <x v="8"/>
          </reference>
        </references>
      </pivotArea>
    </format>
    <format dxfId="1768">
      <pivotArea dataOnly="0" labelOnly="1" outline="0" fieldPosition="0">
        <references count="5">
          <reference field="0" count="1" selected="0">
            <x v="31"/>
          </reference>
          <reference field="4" count="1" selected="0">
            <x v="2"/>
          </reference>
          <reference field="5" count="1" selected="0">
            <x v="3"/>
          </reference>
          <reference field="8" count="1" selected="0">
            <x v="0"/>
          </reference>
          <reference field="12" count="1">
            <x v="9"/>
          </reference>
        </references>
      </pivotArea>
    </format>
    <format dxfId="1767">
      <pivotArea dataOnly="0" labelOnly="1" outline="0" fieldPosition="0">
        <references count="5">
          <reference field="0" count="1" selected="0">
            <x v="32"/>
          </reference>
          <reference field="4" count="1" selected="0">
            <x v="2"/>
          </reference>
          <reference field="5" count="1" selected="0">
            <x v="3"/>
          </reference>
          <reference field="8" count="1" selected="0">
            <x v="0"/>
          </reference>
          <reference field="12" count="1">
            <x v="10"/>
          </reference>
        </references>
      </pivotArea>
    </format>
    <format dxfId="1766">
      <pivotArea dataOnly="0" labelOnly="1" outline="0" fieldPosition="0">
        <references count="5">
          <reference field="0" count="1" selected="0">
            <x v="35"/>
          </reference>
          <reference field="4" count="1" selected="0">
            <x v="1"/>
          </reference>
          <reference field="5" count="1" selected="0">
            <x v="4"/>
          </reference>
          <reference field="8" count="1" selected="0">
            <x v="3"/>
          </reference>
          <reference field="12" count="1">
            <x v="4"/>
          </reference>
        </references>
      </pivotArea>
    </format>
    <format dxfId="1765">
      <pivotArea dataOnly="0" labelOnly="1" outline="0" fieldPosition="0">
        <references count="5">
          <reference field="0" count="1" selected="0">
            <x v="36"/>
          </reference>
          <reference field="4" count="1" selected="0">
            <x v="1"/>
          </reference>
          <reference field="5" count="1" selected="0">
            <x v="4"/>
          </reference>
          <reference field="8" count="1" selected="0">
            <x v="3"/>
          </reference>
          <reference field="12" count="1">
            <x v="3"/>
          </reference>
        </references>
      </pivotArea>
    </format>
    <format dxfId="1764">
      <pivotArea dataOnly="0" labelOnly="1" outline="0" fieldPosition="0">
        <references count="5">
          <reference field="0" count="1" selected="0">
            <x v="37"/>
          </reference>
          <reference field="4" count="1" selected="0">
            <x v="1"/>
          </reference>
          <reference field="5" count="1" selected="0">
            <x v="4"/>
          </reference>
          <reference field="8" count="1" selected="0">
            <x v="5"/>
          </reference>
          <reference field="12" count="1">
            <x v="34"/>
          </reference>
        </references>
      </pivotArea>
    </format>
    <format dxfId="1763">
      <pivotArea dataOnly="0" labelOnly="1" outline="0" fieldPosition="0">
        <references count="5">
          <reference field="0" count="1" selected="0">
            <x v="38"/>
          </reference>
          <reference field="4" count="1" selected="0">
            <x v="1"/>
          </reference>
          <reference field="5" count="1" selected="0">
            <x v="4"/>
          </reference>
          <reference field="8" count="1" selected="0">
            <x v="4"/>
          </reference>
          <reference field="12" count="3">
            <x v="0"/>
            <x v="1"/>
            <x v="2"/>
          </reference>
        </references>
      </pivotArea>
    </format>
    <format dxfId="1762">
      <pivotArea dataOnly="0" labelOnly="1" outline="0" fieldPosition="0">
        <references count="5">
          <reference field="0" count="1" selected="0">
            <x v="39"/>
          </reference>
          <reference field="4" count="1" selected="0">
            <x v="1"/>
          </reference>
          <reference field="5" count="1" selected="0">
            <x v="5"/>
          </reference>
          <reference field="8" count="1" selected="0">
            <x v="3"/>
          </reference>
          <reference field="12" count="1">
            <x v="21"/>
          </reference>
        </references>
      </pivotArea>
    </format>
    <format dxfId="1761">
      <pivotArea dataOnly="0" labelOnly="1" outline="0" fieldPosition="0">
        <references count="5">
          <reference field="0" count="1" selected="0">
            <x v="40"/>
          </reference>
          <reference field="4" count="1" selected="0">
            <x v="1"/>
          </reference>
          <reference field="5" count="1" selected="0">
            <x v="5"/>
          </reference>
          <reference field="8" count="1" selected="0">
            <x v="6"/>
          </reference>
          <reference field="12" count="1">
            <x v="15"/>
          </reference>
        </references>
      </pivotArea>
    </format>
    <format dxfId="1760">
      <pivotArea dataOnly="0" labelOnly="1" outline="0" fieldPosition="0">
        <references count="5">
          <reference field="0" count="1" selected="0">
            <x v="43"/>
          </reference>
          <reference field="4" count="1" selected="0">
            <x v="1"/>
          </reference>
          <reference field="5" count="1" selected="0">
            <x v="5"/>
          </reference>
          <reference field="8" count="1" selected="0">
            <x v="6"/>
          </reference>
          <reference field="12" count="1">
            <x v="22"/>
          </reference>
        </references>
      </pivotArea>
    </format>
    <format dxfId="1759">
      <pivotArea dataOnly="0" labelOnly="1" outline="0" fieldPosition="0">
        <references count="5">
          <reference field="0" count="1" selected="0">
            <x v="44"/>
          </reference>
          <reference field="4" count="1" selected="0">
            <x v="1"/>
          </reference>
          <reference field="5" count="1" selected="0">
            <x v="5"/>
          </reference>
          <reference field="8" count="1" selected="0">
            <x v="6"/>
          </reference>
          <reference field="12" count="2">
            <x v="13"/>
            <x v="16"/>
          </reference>
        </references>
      </pivotArea>
    </format>
    <format dxfId="1758">
      <pivotArea dataOnly="0" labelOnly="1" outline="0" fieldPosition="0">
        <references count="5">
          <reference field="0" count="1" selected="0">
            <x v="49"/>
          </reference>
          <reference field="4" count="1" selected="0">
            <x v="1"/>
          </reference>
          <reference field="5" count="1" selected="0">
            <x v="5"/>
          </reference>
          <reference field="8" count="1" selected="0">
            <x v="3"/>
          </reference>
          <reference field="12" count="1">
            <x v="12"/>
          </reference>
        </references>
      </pivotArea>
    </format>
    <format dxfId="1757">
      <pivotArea dataOnly="0" labelOnly="1" outline="0" fieldPosition="0">
        <references count="5">
          <reference field="0" count="1" selected="0">
            <x v="50"/>
          </reference>
          <reference field="4" count="1" selected="0">
            <x v="1"/>
          </reference>
          <reference field="5" count="1" selected="0">
            <x v="5"/>
          </reference>
          <reference field="8" count="1" selected="0">
            <x v="3"/>
          </reference>
          <reference field="12" count="1">
            <x v="20"/>
          </reference>
        </references>
      </pivotArea>
    </format>
    <format dxfId="1756">
      <pivotArea dataOnly="0" labelOnly="1" outline="0" fieldPosition="0">
        <references count="5">
          <reference field="0" count="1" selected="0">
            <x v="52"/>
          </reference>
          <reference field="4" count="1" selected="0">
            <x v="1"/>
          </reference>
          <reference field="5" count="1" selected="0">
            <x v="6"/>
          </reference>
          <reference field="8" count="1" selected="0">
            <x v="3"/>
          </reference>
          <reference field="12" count="1">
            <x v="21"/>
          </reference>
        </references>
      </pivotArea>
    </format>
    <format dxfId="1755">
      <pivotArea dataOnly="0" labelOnly="1" outline="0" fieldPosition="0">
        <references count="5">
          <reference field="0" count="1" selected="0">
            <x v="53"/>
          </reference>
          <reference field="4" count="1" selected="0">
            <x v="1"/>
          </reference>
          <reference field="5" count="1" selected="0">
            <x v="6"/>
          </reference>
          <reference field="8" count="1" selected="0">
            <x v="6"/>
          </reference>
          <reference field="12" count="1">
            <x v="15"/>
          </reference>
        </references>
      </pivotArea>
    </format>
    <format dxfId="1754">
      <pivotArea dataOnly="0" labelOnly="1" outline="0" fieldPosition="0">
        <references count="5">
          <reference field="0" count="1" selected="0">
            <x v="58"/>
          </reference>
          <reference field="4" count="1" selected="0">
            <x v="1"/>
          </reference>
          <reference field="5" count="1" selected="0">
            <x v="6"/>
          </reference>
          <reference field="8" count="1" selected="0">
            <x v="3"/>
          </reference>
          <reference field="12" count="1">
            <x v="24"/>
          </reference>
        </references>
      </pivotArea>
    </format>
    <format dxfId="1753">
      <pivotArea dataOnly="0" labelOnly="1" outline="0" fieldPosition="0">
        <references count="5">
          <reference field="0" count="1" selected="0">
            <x v="64"/>
          </reference>
          <reference field="4" count="1" selected="0">
            <x v="1"/>
          </reference>
          <reference field="5" count="1" selected="0">
            <x v="6"/>
          </reference>
          <reference field="8" count="1" selected="0">
            <x v="7"/>
          </reference>
          <reference field="12" count="2">
            <x v="0"/>
            <x v="1"/>
          </reference>
        </references>
      </pivotArea>
    </format>
    <format dxfId="1752">
      <pivotArea dataOnly="0" labelOnly="1" outline="0" fieldPosition="0">
        <references count="5">
          <reference field="0" count="1" selected="0">
            <x v="65"/>
          </reference>
          <reference field="4" count="1" selected="0">
            <x v="1"/>
          </reference>
          <reference field="5" count="1" selected="0">
            <x v="6"/>
          </reference>
          <reference field="8" count="1" selected="0">
            <x v="3"/>
          </reference>
          <reference field="12" count="1">
            <x v="23"/>
          </reference>
        </references>
      </pivotArea>
    </format>
    <format dxfId="1751">
      <pivotArea dataOnly="0" labelOnly="1" outline="0" fieldPosition="0">
        <references count="5">
          <reference field="0" count="1" selected="0">
            <x v="67"/>
          </reference>
          <reference field="4" count="1" selected="0">
            <x v="0"/>
          </reference>
          <reference field="5" count="1" selected="0">
            <x v="7"/>
          </reference>
          <reference field="8" count="1" selected="0">
            <x v="2"/>
          </reference>
          <reference field="12" count="1">
            <x v="25"/>
          </reference>
        </references>
      </pivotArea>
    </format>
    <format dxfId="1750">
      <pivotArea dataOnly="0" labelOnly="1" outline="0" fieldPosition="0">
        <references count="5">
          <reference field="0" count="1" selected="0">
            <x v="68"/>
          </reference>
          <reference field="4" count="1" selected="0">
            <x v="0"/>
          </reference>
          <reference field="5" count="1" selected="0">
            <x v="7"/>
          </reference>
          <reference field="8" count="1" selected="0">
            <x v="2"/>
          </reference>
          <reference field="12" count="1">
            <x v="26"/>
          </reference>
        </references>
      </pivotArea>
    </format>
    <format dxfId="1749">
      <pivotArea dataOnly="0" labelOnly="1" outline="0" fieldPosition="0">
        <references count="5">
          <reference field="0" count="1" selected="0">
            <x v="69"/>
          </reference>
          <reference field="4" count="1" selected="0">
            <x v="0"/>
          </reference>
          <reference field="5" count="1" selected="0">
            <x v="7"/>
          </reference>
          <reference field="8" count="1" selected="0">
            <x v="2"/>
          </reference>
          <reference field="12" count="1">
            <x v="25"/>
          </reference>
        </references>
      </pivotArea>
    </format>
    <format dxfId="1748">
      <pivotArea dataOnly="0" labelOnly="1" outline="0" fieldPosition="0">
        <references count="5">
          <reference field="0" count="1" selected="0">
            <x v="70"/>
          </reference>
          <reference field="4" count="1" selected="0">
            <x v="0"/>
          </reference>
          <reference field="5" count="1" selected="0">
            <x v="8"/>
          </reference>
          <reference field="8" count="1" selected="0">
            <x v="2"/>
          </reference>
          <reference field="12" count="1">
            <x v="8"/>
          </reference>
        </references>
      </pivotArea>
    </format>
    <format dxfId="1747">
      <pivotArea dataOnly="0" labelOnly="1" outline="0" fieldPosition="0">
        <references count="5">
          <reference field="0" count="1" selected="0">
            <x v="71"/>
          </reference>
          <reference field="4" count="1" selected="0">
            <x v="0"/>
          </reference>
          <reference field="5" count="1" selected="0">
            <x v="8"/>
          </reference>
          <reference field="8" count="1" selected="0">
            <x v="2"/>
          </reference>
          <reference field="12" count="1">
            <x v="20"/>
          </reference>
        </references>
      </pivotArea>
    </format>
    <format dxfId="1746">
      <pivotArea dataOnly="0" labelOnly="1" outline="0" fieldPosition="0">
        <references count="5">
          <reference field="0" count="1" selected="0">
            <x v="72"/>
          </reference>
          <reference field="4" count="1" selected="0">
            <x v="0"/>
          </reference>
          <reference field="5" count="1" selected="0">
            <x v="8"/>
          </reference>
          <reference field="8" count="1" selected="0">
            <x v="2"/>
          </reference>
          <reference field="12" count="1">
            <x v="27"/>
          </reference>
        </references>
      </pivotArea>
    </format>
    <format dxfId="1745">
      <pivotArea dataOnly="0" labelOnly="1" outline="0" fieldPosition="0">
        <references count="5">
          <reference field="0" count="1" selected="0">
            <x v="0"/>
          </reference>
          <reference field="4" count="1" selected="0">
            <x v="0"/>
          </reference>
          <reference field="5" count="1" selected="0">
            <x v="9"/>
          </reference>
          <reference field="8" count="1" selected="0">
            <x v="2"/>
          </reference>
          <reference field="12" count="1">
            <x v="28"/>
          </reference>
        </references>
      </pivotArea>
    </format>
    <format dxfId="1744">
      <pivotArea dataOnly="0" labelOnly="1" outline="0" fieldPosition="0">
        <references count="5">
          <reference field="0" count="1" selected="0">
            <x v="1"/>
          </reference>
          <reference field="4" count="1" selected="0">
            <x v="0"/>
          </reference>
          <reference field="5" count="1" selected="0">
            <x v="9"/>
          </reference>
          <reference field="8" count="1" selected="0">
            <x v="2"/>
          </reference>
          <reference field="12" count="1">
            <x v="31"/>
          </reference>
        </references>
      </pivotArea>
    </format>
    <format dxfId="1743">
      <pivotArea dataOnly="0" labelOnly="1" outline="0" fieldPosition="0">
        <references count="5">
          <reference field="0" count="1" selected="0">
            <x v="2"/>
          </reference>
          <reference field="4" count="1" selected="0">
            <x v="0"/>
          </reference>
          <reference field="5" count="1" selected="0">
            <x v="9"/>
          </reference>
          <reference field="8" count="1" selected="0">
            <x v="2"/>
          </reference>
          <reference field="12" count="1">
            <x v="28"/>
          </reference>
        </references>
      </pivotArea>
    </format>
    <format dxfId="1742">
      <pivotArea dataOnly="0" labelOnly="1" outline="0" fieldPosition="0">
        <references count="5">
          <reference field="0" count="1" selected="0">
            <x v="3"/>
          </reference>
          <reference field="4" count="1" selected="0">
            <x v="0"/>
          </reference>
          <reference field="5" count="1" selected="0">
            <x v="10"/>
          </reference>
          <reference field="8" count="1" selected="0">
            <x v="2"/>
          </reference>
          <reference field="12" count="1">
            <x v="29"/>
          </reference>
        </references>
      </pivotArea>
    </format>
    <format dxfId="1741">
      <pivotArea dataOnly="0" labelOnly="1" outline="0" fieldPosition="0">
        <references count="5">
          <reference field="0" count="1" selected="0">
            <x v="4"/>
          </reference>
          <reference field="4" count="1" selected="0">
            <x v="0"/>
          </reference>
          <reference field="5" count="1" selected="0">
            <x v="10"/>
          </reference>
          <reference field="8" count="1" selected="0">
            <x v="2"/>
          </reference>
          <reference field="12" count="1">
            <x v="32"/>
          </reference>
        </references>
      </pivotArea>
    </format>
    <format dxfId="1740">
      <pivotArea dataOnly="0" labelOnly="1" outline="0" fieldPosition="0">
        <references count="5">
          <reference field="0" count="1" selected="0">
            <x v="5"/>
          </reference>
          <reference field="4" count="1" selected="0">
            <x v="0"/>
          </reference>
          <reference field="5" count="1" selected="0">
            <x v="10"/>
          </reference>
          <reference field="8" count="1" selected="0">
            <x v="2"/>
          </reference>
          <reference field="12" count="1">
            <x v="29"/>
          </reference>
        </references>
      </pivotArea>
    </format>
    <format dxfId="1739">
      <pivotArea dataOnly="0" labelOnly="1" outline="0" fieldPosition="0">
        <references count="5">
          <reference field="0" count="1" selected="0">
            <x v="6"/>
          </reference>
          <reference field="4" count="1" selected="0">
            <x v="0"/>
          </reference>
          <reference field="5" count="1" selected="0">
            <x v="11"/>
          </reference>
          <reference field="8" count="1" selected="0">
            <x v="2"/>
          </reference>
          <reference field="12" count="1">
            <x v="30"/>
          </reference>
        </references>
      </pivotArea>
    </format>
    <format dxfId="1738">
      <pivotArea dataOnly="0" labelOnly="1" outline="0" fieldPosition="0">
        <references count="5">
          <reference field="0" count="1" selected="0">
            <x v="7"/>
          </reference>
          <reference field="4" count="1" selected="0">
            <x v="0"/>
          </reference>
          <reference field="5" count="1" selected="0">
            <x v="11"/>
          </reference>
          <reference field="8" count="1" selected="0">
            <x v="2"/>
          </reference>
          <reference field="12" count="1">
            <x v="32"/>
          </reference>
        </references>
      </pivotArea>
    </format>
    <format dxfId="1737">
      <pivotArea dataOnly="0" labelOnly="1" outline="0" fieldPosition="0">
        <references count="5">
          <reference field="0" count="1" selected="0">
            <x v="8"/>
          </reference>
          <reference field="4" count="1" selected="0">
            <x v="0"/>
          </reference>
          <reference field="5" count="1" selected="0">
            <x v="11"/>
          </reference>
          <reference field="8" count="1" selected="0">
            <x v="2"/>
          </reference>
          <reference field="12" count="1">
            <x v="30"/>
          </reference>
        </references>
      </pivotArea>
    </format>
    <format dxfId="1736">
      <pivotArea dataOnly="0" labelOnly="1" outline="0" fieldPosition="0">
        <references count="6">
          <reference field="0" count="1" selected="0">
            <x v="9"/>
          </reference>
          <reference field="4" count="1" selected="0">
            <x v="2"/>
          </reference>
          <reference field="5" count="1" selected="0">
            <x v="0"/>
          </reference>
          <reference field="8" count="1" selected="0">
            <x v="6"/>
          </reference>
          <reference field="11" count="1">
            <x v="4"/>
          </reference>
          <reference field="12" count="1" selected="0">
            <x v="16"/>
          </reference>
        </references>
      </pivotArea>
    </format>
    <format dxfId="1735">
      <pivotArea dataOnly="0" labelOnly="1" outline="0" fieldPosition="0">
        <references count="6">
          <reference field="0" count="1" selected="0">
            <x v="12"/>
          </reference>
          <reference field="4" count="1" selected="0">
            <x v="2"/>
          </reference>
          <reference field="5" count="1" selected="0">
            <x v="0"/>
          </reference>
          <reference field="8" count="1" selected="0">
            <x v="7"/>
          </reference>
          <reference field="11" count="1">
            <x v="0"/>
          </reference>
          <reference field="12" count="1" selected="0">
            <x v="5"/>
          </reference>
        </references>
      </pivotArea>
    </format>
    <format dxfId="1734">
      <pivotArea dataOnly="0" labelOnly="1" outline="0" fieldPosition="0">
        <references count="6">
          <reference field="0" count="1" selected="0">
            <x v="13"/>
          </reference>
          <reference field="4" count="1" selected="0">
            <x v="2"/>
          </reference>
          <reference field="5" count="1" selected="0">
            <x v="0"/>
          </reference>
          <reference field="8" count="1" selected="0">
            <x v="7"/>
          </reference>
          <reference field="11" count="1">
            <x v="1"/>
          </reference>
          <reference field="12" count="1" selected="0">
            <x v="18"/>
          </reference>
        </references>
      </pivotArea>
    </format>
    <format dxfId="1733">
      <pivotArea dataOnly="0" labelOnly="1" outline="0" fieldPosition="0">
        <references count="6">
          <reference field="0" count="1" selected="0">
            <x v="14"/>
          </reference>
          <reference field="4" count="1" selected="0">
            <x v="2"/>
          </reference>
          <reference field="5" count="1" selected="0">
            <x v="0"/>
          </reference>
          <reference field="8" count="1" selected="0">
            <x v="5"/>
          </reference>
          <reference field="11" count="1">
            <x v="7"/>
          </reference>
          <reference field="12" count="1" selected="0">
            <x v="34"/>
          </reference>
        </references>
      </pivotArea>
    </format>
    <format dxfId="1732">
      <pivotArea dataOnly="0" labelOnly="1" outline="0" fieldPosition="0">
        <references count="6">
          <reference field="0" count="1" selected="0">
            <x v="15"/>
          </reference>
          <reference field="4" count="1" selected="0">
            <x v="2"/>
          </reference>
          <reference field="5" count="1" selected="0">
            <x v="1"/>
          </reference>
          <reference field="8" count="1" selected="0">
            <x v="1"/>
          </reference>
          <reference field="11" count="1">
            <x v="7"/>
          </reference>
          <reference field="12" count="1" selected="0">
            <x v="33"/>
          </reference>
        </references>
      </pivotArea>
    </format>
    <format dxfId="1731">
      <pivotArea dataOnly="0" labelOnly="1" outline="0" fieldPosition="0">
        <references count="6">
          <reference field="0" count="1" selected="0">
            <x v="21"/>
          </reference>
          <reference field="4" count="1" selected="0">
            <x v="2"/>
          </reference>
          <reference field="5" count="1" selected="0">
            <x v="2"/>
          </reference>
          <reference field="8" count="1" selected="0">
            <x v="6"/>
          </reference>
          <reference field="11" count="1">
            <x v="2"/>
          </reference>
          <reference field="12" count="1" selected="0">
            <x v="13"/>
          </reference>
        </references>
      </pivotArea>
    </format>
    <format dxfId="1730">
      <pivotArea dataOnly="0" labelOnly="1" outline="0" fieldPosition="0">
        <references count="6">
          <reference field="0" count="1" selected="0">
            <x v="22"/>
          </reference>
          <reference field="4" count="1" selected="0">
            <x v="2"/>
          </reference>
          <reference field="5" count="1" selected="0">
            <x v="2"/>
          </reference>
          <reference field="8" count="1" selected="0">
            <x v="6"/>
          </reference>
          <reference field="11" count="1">
            <x v="4"/>
          </reference>
          <reference field="12" count="1" selected="0">
            <x v="17"/>
          </reference>
        </references>
      </pivotArea>
    </format>
    <format dxfId="1729">
      <pivotArea dataOnly="0" labelOnly="1" outline="0" fieldPosition="0">
        <references count="6">
          <reference field="0" count="1" selected="0">
            <x v="24"/>
          </reference>
          <reference field="4" count="1" selected="0">
            <x v="2"/>
          </reference>
          <reference field="5" count="1" selected="0">
            <x v="2"/>
          </reference>
          <reference field="8" count="1" selected="0">
            <x v="7"/>
          </reference>
          <reference field="11" count="1">
            <x v="0"/>
          </reference>
          <reference field="12" count="1" selected="0">
            <x v="0"/>
          </reference>
        </references>
      </pivotArea>
    </format>
    <format dxfId="1728">
      <pivotArea dataOnly="0" labelOnly="1" outline="0" fieldPosition="0">
        <references count="6">
          <reference field="0" count="1" selected="0">
            <x v="25"/>
          </reference>
          <reference field="4" count="1" selected="0">
            <x v="2"/>
          </reference>
          <reference field="5" count="1" selected="0">
            <x v="2"/>
          </reference>
          <reference field="8" count="1" selected="0">
            <x v="7"/>
          </reference>
          <reference field="11" count="1">
            <x v="1"/>
          </reference>
          <reference field="12" count="1" selected="0">
            <x v="18"/>
          </reference>
        </references>
      </pivotArea>
    </format>
    <format dxfId="1727">
      <pivotArea dataOnly="0" labelOnly="1" outline="0" fieldPosition="0">
        <references count="6">
          <reference field="0" count="1" selected="0">
            <x v="26"/>
          </reference>
          <reference field="4" count="1" selected="0">
            <x v="2"/>
          </reference>
          <reference field="5" count="1" selected="0">
            <x v="2"/>
          </reference>
          <reference field="8" count="1" selected="0">
            <x v="5"/>
          </reference>
          <reference field="11" count="1">
            <x v="7"/>
          </reference>
          <reference field="12" count="1" selected="0">
            <x v="34"/>
          </reference>
        </references>
      </pivotArea>
    </format>
    <format dxfId="1726">
      <pivotArea dataOnly="0" labelOnly="1" outline="0" fieldPosition="0">
        <references count="6">
          <reference field="0" count="1" selected="0">
            <x v="27"/>
          </reference>
          <reference field="4" count="1" selected="0">
            <x v="2"/>
          </reference>
          <reference field="5" count="1" selected="0">
            <x v="3"/>
          </reference>
          <reference field="8" count="1" selected="0">
            <x v="7"/>
          </reference>
          <reference field="11" count="1">
            <x v="6"/>
          </reference>
          <reference field="12" count="1" selected="0">
            <x v="6"/>
          </reference>
        </references>
      </pivotArea>
    </format>
    <format dxfId="1725">
      <pivotArea dataOnly="0" labelOnly="1" outline="0" fieldPosition="0">
        <references count="6">
          <reference field="0" count="1" selected="0">
            <x v="29"/>
          </reference>
          <reference field="4" count="1" selected="0">
            <x v="2"/>
          </reference>
          <reference field="5" count="1" selected="0">
            <x v="3"/>
          </reference>
          <reference field="8" count="1" selected="0">
            <x v="3"/>
          </reference>
          <reference field="11" count="1">
            <x v="4"/>
          </reference>
          <reference field="12" count="1" selected="0">
            <x v="11"/>
          </reference>
        </references>
      </pivotArea>
    </format>
    <format dxfId="1724">
      <pivotArea dataOnly="0" labelOnly="1" outline="0" fieldPosition="0">
        <references count="6">
          <reference field="0" count="1" selected="0">
            <x v="30"/>
          </reference>
          <reference field="4" count="1" selected="0">
            <x v="2"/>
          </reference>
          <reference field="5" count="1" selected="0">
            <x v="3"/>
          </reference>
          <reference field="8" count="1" selected="0">
            <x v="4"/>
          </reference>
          <reference field="11" count="1">
            <x v="0"/>
          </reference>
          <reference field="12" count="1" selected="0">
            <x v="5"/>
          </reference>
        </references>
      </pivotArea>
    </format>
    <format dxfId="1723">
      <pivotArea dataOnly="0" labelOnly="1" outline="0" fieldPosition="0">
        <references count="6">
          <reference field="0" count="1" selected="0">
            <x v="31"/>
          </reference>
          <reference field="4" count="1" selected="0">
            <x v="2"/>
          </reference>
          <reference field="5" count="1" selected="0">
            <x v="3"/>
          </reference>
          <reference field="8" count="1" selected="0">
            <x v="0"/>
          </reference>
          <reference field="11" count="1">
            <x v="6"/>
          </reference>
          <reference field="12" count="1" selected="0">
            <x v="9"/>
          </reference>
        </references>
      </pivotArea>
    </format>
    <format dxfId="1722">
      <pivotArea dataOnly="0" labelOnly="1" outline="0" fieldPosition="0">
        <references count="6">
          <reference field="0" count="1" selected="0">
            <x v="35"/>
          </reference>
          <reference field="4" count="1" selected="0">
            <x v="1"/>
          </reference>
          <reference field="5" count="1" selected="0">
            <x v="4"/>
          </reference>
          <reference field="8" count="1" selected="0">
            <x v="3"/>
          </reference>
          <reference field="11" count="1">
            <x v="4"/>
          </reference>
          <reference field="12" count="1" selected="0">
            <x v="4"/>
          </reference>
        </references>
      </pivotArea>
    </format>
    <format dxfId="1721">
      <pivotArea dataOnly="0" labelOnly="1" outline="0" fieldPosition="0">
        <references count="6">
          <reference field="0" count="1" selected="0">
            <x v="37"/>
          </reference>
          <reference field="4" count="1" selected="0">
            <x v="1"/>
          </reference>
          <reference field="5" count="1" selected="0">
            <x v="4"/>
          </reference>
          <reference field="8" count="1" selected="0">
            <x v="5"/>
          </reference>
          <reference field="11" count="1">
            <x v="7"/>
          </reference>
          <reference field="12" count="1" selected="0">
            <x v="34"/>
          </reference>
        </references>
      </pivotArea>
    </format>
    <format dxfId="1720">
      <pivotArea dataOnly="0" labelOnly="1" outline="0" fieldPosition="0">
        <references count="6">
          <reference field="0" count="1" selected="0">
            <x v="38"/>
          </reference>
          <reference field="4" count="1" selected="0">
            <x v="1"/>
          </reference>
          <reference field="5" count="1" selected="0">
            <x v="4"/>
          </reference>
          <reference field="8" count="1" selected="0">
            <x v="4"/>
          </reference>
          <reference field="11" count="1">
            <x v="0"/>
          </reference>
          <reference field="12" count="1" selected="0">
            <x v="0"/>
          </reference>
        </references>
      </pivotArea>
    </format>
    <format dxfId="1719">
      <pivotArea dataOnly="0" labelOnly="1" outline="0" fieldPosition="0">
        <references count="6">
          <reference field="0" count="1" selected="0">
            <x v="39"/>
          </reference>
          <reference field="4" count="1" selected="0">
            <x v="1"/>
          </reference>
          <reference field="5" count="1" selected="0">
            <x v="5"/>
          </reference>
          <reference field="8" count="1" selected="0">
            <x v="3"/>
          </reference>
          <reference field="11" count="1">
            <x v="4"/>
          </reference>
          <reference field="12" count="1" selected="0">
            <x v="21"/>
          </reference>
        </references>
      </pivotArea>
    </format>
    <format dxfId="1718">
      <pivotArea dataOnly="0" labelOnly="1" outline="0" fieldPosition="0">
        <references count="6">
          <reference field="0" count="1" selected="0">
            <x v="40"/>
          </reference>
          <reference field="4" count="1" selected="0">
            <x v="1"/>
          </reference>
          <reference field="5" count="1" selected="0">
            <x v="5"/>
          </reference>
          <reference field="8" count="1" selected="0">
            <x v="6"/>
          </reference>
          <reference field="11" count="1">
            <x v="0"/>
          </reference>
          <reference field="12" count="1" selected="0">
            <x v="15"/>
          </reference>
        </references>
      </pivotArea>
    </format>
    <format dxfId="1717">
      <pivotArea dataOnly="0" labelOnly="1" outline="0" fieldPosition="0">
        <references count="6">
          <reference field="0" count="1" selected="0">
            <x v="43"/>
          </reference>
          <reference field="4" count="1" selected="0">
            <x v="1"/>
          </reference>
          <reference field="5" count="1" selected="0">
            <x v="5"/>
          </reference>
          <reference field="8" count="1" selected="0">
            <x v="6"/>
          </reference>
          <reference field="11" count="1">
            <x v="1"/>
          </reference>
          <reference field="12" count="1" selected="0">
            <x v="22"/>
          </reference>
        </references>
      </pivotArea>
    </format>
    <format dxfId="1716">
      <pivotArea dataOnly="0" labelOnly="1" outline="0" fieldPosition="0">
        <references count="6">
          <reference field="0" count="1" selected="0">
            <x v="49"/>
          </reference>
          <reference field="4" count="1" selected="0">
            <x v="1"/>
          </reference>
          <reference field="5" count="1" selected="0">
            <x v="5"/>
          </reference>
          <reference field="8" count="1" selected="0">
            <x v="3"/>
          </reference>
          <reference field="11" count="1">
            <x v="4"/>
          </reference>
          <reference field="12" count="1" selected="0">
            <x v="12"/>
          </reference>
        </references>
      </pivotArea>
    </format>
    <format dxfId="1715">
      <pivotArea dataOnly="0" labelOnly="1" outline="0" fieldPosition="0">
        <references count="6">
          <reference field="0" count="1" selected="0">
            <x v="52"/>
          </reference>
          <reference field="4" count="1" selected="0">
            <x v="1"/>
          </reference>
          <reference field="5" count="1" selected="0">
            <x v="6"/>
          </reference>
          <reference field="8" count="1" selected="0">
            <x v="3"/>
          </reference>
          <reference field="11" count="1">
            <x v="4"/>
          </reference>
          <reference field="12" count="1" selected="0">
            <x v="21"/>
          </reference>
        </references>
      </pivotArea>
    </format>
    <format dxfId="1714">
      <pivotArea dataOnly="0" labelOnly="1" outline="0" fieldPosition="0">
        <references count="6">
          <reference field="0" count="1" selected="0">
            <x v="53"/>
          </reference>
          <reference field="4" count="1" selected="0">
            <x v="1"/>
          </reference>
          <reference field="5" count="1" selected="0">
            <x v="6"/>
          </reference>
          <reference field="8" count="1" selected="0">
            <x v="6"/>
          </reference>
          <reference field="11" count="1">
            <x v="0"/>
          </reference>
          <reference field="12" count="1" selected="0">
            <x v="15"/>
          </reference>
        </references>
      </pivotArea>
    </format>
    <format dxfId="1713">
      <pivotArea dataOnly="0" labelOnly="1" outline="0" fieldPosition="0">
        <references count="6">
          <reference field="0" count="1" selected="0">
            <x v="58"/>
          </reference>
          <reference field="4" count="1" selected="0">
            <x v="1"/>
          </reference>
          <reference field="5" count="1" selected="0">
            <x v="6"/>
          </reference>
          <reference field="8" count="1" selected="0">
            <x v="3"/>
          </reference>
          <reference field="11" count="1">
            <x v="4"/>
          </reference>
          <reference field="12" count="1" selected="0">
            <x v="24"/>
          </reference>
        </references>
      </pivotArea>
    </format>
    <format dxfId="1712">
      <pivotArea dataOnly="0" labelOnly="1" outline="0" fieldPosition="0">
        <references count="6">
          <reference field="0" count="1" selected="0">
            <x v="64"/>
          </reference>
          <reference field="4" count="1" selected="0">
            <x v="1"/>
          </reference>
          <reference field="5" count="1" selected="0">
            <x v="6"/>
          </reference>
          <reference field="8" count="1" selected="0">
            <x v="7"/>
          </reference>
          <reference field="11" count="1">
            <x v="0"/>
          </reference>
          <reference field="12" count="1" selected="0">
            <x v="0"/>
          </reference>
        </references>
      </pivotArea>
    </format>
    <format dxfId="1711">
      <pivotArea dataOnly="0" labelOnly="1" outline="0" fieldPosition="0">
        <references count="6">
          <reference field="0" count="1" selected="0">
            <x v="65"/>
          </reference>
          <reference field="4" count="1" selected="0">
            <x v="1"/>
          </reference>
          <reference field="5" count="1" selected="0">
            <x v="6"/>
          </reference>
          <reference field="8" count="1" selected="0">
            <x v="3"/>
          </reference>
          <reference field="11" count="1">
            <x v="6"/>
          </reference>
          <reference field="12" count="1" selected="0">
            <x v="23"/>
          </reference>
        </references>
      </pivotArea>
    </format>
    <format dxfId="1710">
      <pivotArea dataOnly="0" labelOnly="1" outline="0" fieldPosition="0">
        <references count="6">
          <reference field="0" count="1" selected="0">
            <x v="67"/>
          </reference>
          <reference field="4" count="1" selected="0">
            <x v="0"/>
          </reference>
          <reference field="5" count="1" selected="0">
            <x v="7"/>
          </reference>
          <reference field="8" count="1" selected="0">
            <x v="2"/>
          </reference>
          <reference field="11" count="1">
            <x v="0"/>
          </reference>
          <reference field="12" count="1" selected="0">
            <x v="25"/>
          </reference>
        </references>
      </pivotArea>
    </format>
    <format dxfId="1709">
      <pivotArea dataOnly="0" labelOnly="1" outline="0" fieldPosition="0">
        <references count="6">
          <reference field="0" count="1" selected="0">
            <x v="68"/>
          </reference>
          <reference field="4" count="1" selected="0">
            <x v="0"/>
          </reference>
          <reference field="5" count="1" selected="0">
            <x v="7"/>
          </reference>
          <reference field="8" count="1" selected="0">
            <x v="2"/>
          </reference>
          <reference field="11" count="1">
            <x v="1"/>
          </reference>
          <reference field="12" count="1" selected="0">
            <x v="26"/>
          </reference>
        </references>
      </pivotArea>
    </format>
    <format dxfId="1708">
      <pivotArea dataOnly="0" labelOnly="1" outline="0" fieldPosition="0">
        <references count="6">
          <reference field="0" count="1" selected="0">
            <x v="69"/>
          </reference>
          <reference field="4" count="1" selected="0">
            <x v="0"/>
          </reference>
          <reference field="5" count="1" selected="0">
            <x v="7"/>
          </reference>
          <reference field="8" count="1" selected="0">
            <x v="2"/>
          </reference>
          <reference field="11" count="1">
            <x v="0"/>
          </reference>
          <reference field="12" count="1" selected="0">
            <x v="25"/>
          </reference>
        </references>
      </pivotArea>
    </format>
    <format dxfId="1707">
      <pivotArea dataOnly="0" labelOnly="1" outline="0" fieldPosition="0">
        <references count="6">
          <reference field="0" count="1" selected="0">
            <x v="70"/>
          </reference>
          <reference field="4" count="1" selected="0">
            <x v="0"/>
          </reference>
          <reference field="5" count="1" selected="0">
            <x v="8"/>
          </reference>
          <reference field="8" count="1" selected="0">
            <x v="2"/>
          </reference>
          <reference field="11" count="1">
            <x v="0"/>
          </reference>
          <reference field="12" count="1" selected="0">
            <x v="8"/>
          </reference>
        </references>
      </pivotArea>
    </format>
    <format dxfId="1706">
      <pivotArea dataOnly="0" labelOnly="1" outline="0" fieldPosition="0">
        <references count="6">
          <reference field="0" count="1" selected="0">
            <x v="71"/>
          </reference>
          <reference field="4" count="1" selected="0">
            <x v="0"/>
          </reference>
          <reference field="5" count="1" selected="0">
            <x v="8"/>
          </reference>
          <reference field="8" count="1" selected="0">
            <x v="2"/>
          </reference>
          <reference field="11" count="1">
            <x v="5"/>
          </reference>
          <reference field="12" count="1" selected="0">
            <x v="20"/>
          </reference>
        </references>
      </pivotArea>
    </format>
    <format dxfId="1705">
      <pivotArea dataOnly="0" labelOnly="1" outline="0" fieldPosition="0">
        <references count="6">
          <reference field="0" count="1" selected="0">
            <x v="72"/>
          </reference>
          <reference field="4" count="1" selected="0">
            <x v="0"/>
          </reference>
          <reference field="5" count="1" selected="0">
            <x v="8"/>
          </reference>
          <reference field="8" count="1" selected="0">
            <x v="2"/>
          </reference>
          <reference field="11" count="1">
            <x v="0"/>
          </reference>
          <reference field="12" count="1" selected="0">
            <x v="27"/>
          </reference>
        </references>
      </pivotArea>
    </format>
    <format dxfId="1704">
      <pivotArea dataOnly="0" labelOnly="1" outline="0" fieldPosition="0">
        <references count="6">
          <reference field="0" count="1" selected="0">
            <x v="0"/>
          </reference>
          <reference field="4" count="1" selected="0">
            <x v="0"/>
          </reference>
          <reference field="5" count="1" selected="0">
            <x v="9"/>
          </reference>
          <reference field="8" count="1" selected="0">
            <x v="2"/>
          </reference>
          <reference field="11" count="1">
            <x v="0"/>
          </reference>
          <reference field="12" count="1" selected="0">
            <x v="28"/>
          </reference>
        </references>
      </pivotArea>
    </format>
    <format dxfId="1703">
      <pivotArea dataOnly="0" labelOnly="1" outline="0" fieldPosition="0">
        <references count="6">
          <reference field="0" count="1" selected="0">
            <x v="1"/>
          </reference>
          <reference field="4" count="1" selected="0">
            <x v="0"/>
          </reference>
          <reference field="5" count="1" selected="0">
            <x v="9"/>
          </reference>
          <reference field="8" count="1" selected="0">
            <x v="2"/>
          </reference>
          <reference field="11" count="1">
            <x v="5"/>
          </reference>
          <reference field="12" count="1" selected="0">
            <x v="31"/>
          </reference>
        </references>
      </pivotArea>
    </format>
    <format dxfId="1702">
      <pivotArea dataOnly="0" labelOnly="1" outline="0" fieldPosition="0">
        <references count="6">
          <reference field="0" count="1" selected="0">
            <x v="2"/>
          </reference>
          <reference field="4" count="1" selected="0">
            <x v="0"/>
          </reference>
          <reference field="5" count="1" selected="0">
            <x v="9"/>
          </reference>
          <reference field="8" count="1" selected="0">
            <x v="2"/>
          </reference>
          <reference field="11" count="1">
            <x v="0"/>
          </reference>
          <reference field="12" count="1" selected="0">
            <x v="28"/>
          </reference>
        </references>
      </pivotArea>
    </format>
    <format dxfId="1701">
      <pivotArea dataOnly="0" labelOnly="1" outline="0" fieldPosition="0">
        <references count="6">
          <reference field="0" count="1" selected="0">
            <x v="3"/>
          </reference>
          <reference field="4" count="1" selected="0">
            <x v="0"/>
          </reference>
          <reference field="5" count="1" selected="0">
            <x v="10"/>
          </reference>
          <reference field="8" count="1" selected="0">
            <x v="2"/>
          </reference>
          <reference field="11" count="1">
            <x v="3"/>
          </reference>
          <reference field="12" count="1" selected="0">
            <x v="29"/>
          </reference>
        </references>
      </pivotArea>
    </format>
    <format dxfId="1700">
      <pivotArea dataOnly="0" labelOnly="1" outline="0" fieldPosition="0">
        <references count="6">
          <reference field="0" count="1" selected="0">
            <x v="4"/>
          </reference>
          <reference field="4" count="1" selected="0">
            <x v="0"/>
          </reference>
          <reference field="5" count="1" selected="0">
            <x v="10"/>
          </reference>
          <reference field="8" count="1" selected="0">
            <x v="2"/>
          </reference>
          <reference field="11" count="1">
            <x v="5"/>
          </reference>
          <reference field="12" count="1" selected="0">
            <x v="32"/>
          </reference>
        </references>
      </pivotArea>
    </format>
    <format dxfId="1699">
      <pivotArea dataOnly="0" labelOnly="1" outline="0" fieldPosition="0">
        <references count="6">
          <reference field="0" count="1" selected="0">
            <x v="5"/>
          </reference>
          <reference field="4" count="1" selected="0">
            <x v="0"/>
          </reference>
          <reference field="5" count="1" selected="0">
            <x v="10"/>
          </reference>
          <reference field="8" count="1" selected="0">
            <x v="2"/>
          </reference>
          <reference field="11" count="1">
            <x v="3"/>
          </reference>
          <reference field="12" count="1" selected="0">
            <x v="29"/>
          </reference>
        </references>
      </pivotArea>
    </format>
    <format dxfId="1698">
      <pivotArea dataOnly="0" labelOnly="1" outline="0" fieldPosition="0">
        <references count="6">
          <reference field="0" count="1" selected="0">
            <x v="6"/>
          </reference>
          <reference field="4" count="1" selected="0">
            <x v="0"/>
          </reference>
          <reference field="5" count="1" selected="0">
            <x v="11"/>
          </reference>
          <reference field="8" count="1" selected="0">
            <x v="2"/>
          </reference>
          <reference field="11" count="1">
            <x v="3"/>
          </reference>
          <reference field="12" count="1" selected="0">
            <x v="30"/>
          </reference>
        </references>
      </pivotArea>
    </format>
    <format dxfId="1697">
      <pivotArea dataOnly="0" labelOnly="1" outline="0" fieldPosition="0">
        <references count="6">
          <reference field="0" count="1" selected="0">
            <x v="7"/>
          </reference>
          <reference field="4" count="1" selected="0">
            <x v="0"/>
          </reference>
          <reference field="5" count="1" selected="0">
            <x v="11"/>
          </reference>
          <reference field="8" count="1" selected="0">
            <x v="2"/>
          </reference>
          <reference field="11" count="1">
            <x v="5"/>
          </reference>
          <reference field="12" count="1" selected="0">
            <x v="32"/>
          </reference>
        </references>
      </pivotArea>
    </format>
    <format dxfId="1696">
      <pivotArea dataOnly="0" labelOnly="1" outline="0" fieldPosition="0">
        <references count="6">
          <reference field="0" count="1" selected="0">
            <x v="8"/>
          </reference>
          <reference field="4" count="1" selected="0">
            <x v="0"/>
          </reference>
          <reference field="5" count="1" selected="0">
            <x v="11"/>
          </reference>
          <reference field="8" count="1" selected="0">
            <x v="2"/>
          </reference>
          <reference field="11" count="1">
            <x v="3"/>
          </reference>
          <reference field="12" count="1" selected="0">
            <x v="30"/>
          </reference>
        </references>
      </pivotArea>
    </format>
    <format dxfId="1695">
      <pivotArea dataOnly="0" labelOnly="1" outline="0" fieldPosition="0">
        <references count="7">
          <reference field="0" count="1" selected="0">
            <x v="9"/>
          </reference>
          <reference field="4" count="1" selected="0">
            <x v="2"/>
          </reference>
          <reference field="5" count="1" selected="0">
            <x v="0"/>
          </reference>
          <reference field="8" count="1" selected="0">
            <x v="6"/>
          </reference>
          <reference field="11" count="1" selected="0">
            <x v="4"/>
          </reference>
          <reference field="12" count="1" selected="0">
            <x v="16"/>
          </reference>
          <reference field="13" count="1">
            <x v="5"/>
          </reference>
        </references>
      </pivotArea>
    </format>
    <format dxfId="1694">
      <pivotArea dataOnly="0" labelOnly="1" outline="0" fieldPosition="0">
        <references count="7">
          <reference field="0" count="1" selected="0">
            <x v="10"/>
          </reference>
          <reference field="4" count="1" selected="0">
            <x v="2"/>
          </reference>
          <reference field="5" count="1" selected="0">
            <x v="0"/>
          </reference>
          <reference field="8" count="1" selected="0">
            <x v="6"/>
          </reference>
          <reference field="11" count="1" selected="0">
            <x v="4"/>
          </reference>
          <reference field="12" count="1" selected="0">
            <x v="14"/>
          </reference>
          <reference field="13" count="1">
            <x v="19"/>
          </reference>
        </references>
      </pivotArea>
    </format>
    <format dxfId="1693">
      <pivotArea dataOnly="0" labelOnly="1" outline="0" fieldPosition="0">
        <references count="7">
          <reference field="0" count="1" selected="0">
            <x v="11"/>
          </reference>
          <reference field="4" count="1" selected="0">
            <x v="2"/>
          </reference>
          <reference field="5" count="1" selected="0">
            <x v="0"/>
          </reference>
          <reference field="8" count="1" selected="0">
            <x v="3"/>
          </reference>
          <reference field="11" count="1" selected="0">
            <x v="4"/>
          </reference>
          <reference field="12" count="1" selected="0">
            <x v="11"/>
          </reference>
          <reference field="13" count="1">
            <x v="21"/>
          </reference>
        </references>
      </pivotArea>
    </format>
    <format dxfId="1692">
      <pivotArea dataOnly="0" labelOnly="1" outline="0" fieldPosition="0">
        <references count="7">
          <reference field="0" count="1" selected="0">
            <x v="12"/>
          </reference>
          <reference field="4" count="1" selected="0">
            <x v="2"/>
          </reference>
          <reference field="5" count="1" selected="0">
            <x v="0"/>
          </reference>
          <reference field="8" count="1" selected="0">
            <x v="7"/>
          </reference>
          <reference field="11" count="1" selected="0">
            <x v="0"/>
          </reference>
          <reference field="12" count="1" selected="0">
            <x v="5"/>
          </reference>
          <reference field="13" count="1">
            <x v="7"/>
          </reference>
        </references>
      </pivotArea>
    </format>
    <format dxfId="1691">
      <pivotArea dataOnly="0" labelOnly="1" outline="0" fieldPosition="0">
        <references count="7">
          <reference field="0" count="1" selected="0">
            <x v="12"/>
          </reference>
          <reference field="4" count="1" selected="0">
            <x v="2"/>
          </reference>
          <reference field="5" count="1" selected="0">
            <x v="0"/>
          </reference>
          <reference field="8" count="1" selected="0">
            <x v="7"/>
          </reference>
          <reference field="11" count="1" selected="0">
            <x v="0"/>
          </reference>
          <reference field="12" count="1" selected="0">
            <x v="8"/>
          </reference>
          <reference field="13" count="1">
            <x v="8"/>
          </reference>
        </references>
      </pivotArea>
    </format>
    <format dxfId="1690">
      <pivotArea dataOnly="0" labelOnly="1" outline="0" fieldPosition="0">
        <references count="7">
          <reference field="0" count="1" selected="0">
            <x v="13"/>
          </reference>
          <reference field="4" count="1" selected="0">
            <x v="2"/>
          </reference>
          <reference field="5" count="1" selected="0">
            <x v="0"/>
          </reference>
          <reference field="8" count="1" selected="0">
            <x v="7"/>
          </reference>
          <reference field="11" count="1" selected="0">
            <x v="0"/>
          </reference>
          <reference field="12" count="1" selected="0">
            <x v="15"/>
          </reference>
          <reference field="13" count="1">
            <x v="34"/>
          </reference>
        </references>
      </pivotArea>
    </format>
    <format dxfId="1689">
      <pivotArea dataOnly="0" labelOnly="1" outline="0" fieldPosition="0">
        <references count="7">
          <reference field="0" count="1" selected="0">
            <x v="13"/>
          </reference>
          <reference field="4" count="1" selected="0">
            <x v="2"/>
          </reference>
          <reference field="5" count="1" selected="0">
            <x v="0"/>
          </reference>
          <reference field="8" count="1" selected="0">
            <x v="7"/>
          </reference>
          <reference field="11" count="1" selected="0">
            <x v="1"/>
          </reference>
          <reference field="12" count="1" selected="0">
            <x v="18"/>
          </reference>
          <reference field="13" count="1">
            <x v="24"/>
          </reference>
        </references>
      </pivotArea>
    </format>
    <format dxfId="1688">
      <pivotArea dataOnly="0" labelOnly="1" outline="0" fieldPosition="0">
        <references count="7">
          <reference field="0" count="1" selected="0">
            <x v="14"/>
          </reference>
          <reference field="4" count="1" selected="0">
            <x v="2"/>
          </reference>
          <reference field="5" count="1" selected="0">
            <x v="0"/>
          </reference>
          <reference field="8" count="1" selected="0">
            <x v="5"/>
          </reference>
          <reference field="11" count="1" selected="0">
            <x v="7"/>
          </reference>
          <reference field="12" count="1" selected="0">
            <x v="34"/>
          </reference>
          <reference field="13" count="1">
            <x v="18"/>
          </reference>
        </references>
      </pivotArea>
    </format>
    <format dxfId="1687">
      <pivotArea dataOnly="0" labelOnly="1" outline="0" fieldPosition="0">
        <references count="7">
          <reference field="0" count="1" selected="0">
            <x v="15"/>
          </reference>
          <reference field="4" count="1" selected="0">
            <x v="2"/>
          </reference>
          <reference field="5" count="1" selected="0">
            <x v="1"/>
          </reference>
          <reference field="8" count="1" selected="0">
            <x v="1"/>
          </reference>
          <reference field="11" count="1" selected="0">
            <x v="7"/>
          </reference>
          <reference field="12" count="1" selected="0">
            <x v="33"/>
          </reference>
          <reference field="13" count="1">
            <x v="2"/>
          </reference>
        </references>
      </pivotArea>
    </format>
    <format dxfId="1686">
      <pivotArea dataOnly="0" labelOnly="1" outline="0" fieldPosition="0">
        <references count="7">
          <reference field="0" count="1" selected="0">
            <x v="16"/>
          </reference>
          <reference field="4" count="1" selected="0">
            <x v="2"/>
          </reference>
          <reference field="5" count="1" selected="0">
            <x v="1"/>
          </reference>
          <reference field="8" count="1" selected="0">
            <x v="1"/>
          </reference>
          <reference field="11" count="1" selected="0">
            <x v="7"/>
          </reference>
          <reference field="12" count="1" selected="0">
            <x v="33"/>
          </reference>
          <reference field="13" count="1">
            <x v="2"/>
          </reference>
        </references>
      </pivotArea>
    </format>
    <format dxfId="1685">
      <pivotArea dataOnly="0" labelOnly="1" outline="0" fieldPosition="0">
        <references count="7">
          <reference field="0" count="1" selected="0">
            <x v="17"/>
          </reference>
          <reference field="4" count="1" selected="0">
            <x v="2"/>
          </reference>
          <reference field="5" count="1" selected="0">
            <x v="1"/>
          </reference>
          <reference field="8" count="1" selected="0">
            <x v="1"/>
          </reference>
          <reference field="11" count="1" selected="0">
            <x v="7"/>
          </reference>
          <reference field="12" count="1" selected="0">
            <x v="33"/>
          </reference>
          <reference field="13" count="1">
            <x v="2"/>
          </reference>
        </references>
      </pivotArea>
    </format>
    <format dxfId="1684">
      <pivotArea dataOnly="0" labelOnly="1" outline="0" fieldPosition="0">
        <references count="7">
          <reference field="0" count="1" selected="0">
            <x v="18"/>
          </reference>
          <reference field="4" count="1" selected="0">
            <x v="2"/>
          </reference>
          <reference field="5" count="1" selected="0">
            <x v="1"/>
          </reference>
          <reference field="8" count="1" selected="0">
            <x v="1"/>
          </reference>
          <reference field="11" count="1" selected="0">
            <x v="7"/>
          </reference>
          <reference field="12" count="1" selected="0">
            <x v="33"/>
          </reference>
          <reference field="13" count="1">
            <x v="2"/>
          </reference>
        </references>
      </pivotArea>
    </format>
    <format dxfId="1683">
      <pivotArea dataOnly="0" labelOnly="1" outline="0" fieldPosition="0">
        <references count="7">
          <reference field="0" count="1" selected="0">
            <x v="19"/>
          </reference>
          <reference field="4" count="1" selected="0">
            <x v="2"/>
          </reference>
          <reference field="5" count="1" selected="0">
            <x v="1"/>
          </reference>
          <reference field="8" count="1" selected="0">
            <x v="1"/>
          </reference>
          <reference field="11" count="1" selected="0">
            <x v="7"/>
          </reference>
          <reference field="12" count="1" selected="0">
            <x v="33"/>
          </reference>
          <reference field="13" count="1">
            <x v="2"/>
          </reference>
        </references>
      </pivotArea>
    </format>
    <format dxfId="1682">
      <pivotArea dataOnly="0" labelOnly="1" outline="0" fieldPosition="0">
        <references count="7">
          <reference field="0" count="1" selected="0">
            <x v="20"/>
          </reference>
          <reference field="4" count="1" selected="0">
            <x v="2"/>
          </reference>
          <reference field="5" count="1" selected="0">
            <x v="1"/>
          </reference>
          <reference field="8" count="1" selected="0">
            <x v="1"/>
          </reference>
          <reference field="11" count="1" selected="0">
            <x v="7"/>
          </reference>
          <reference field="12" count="1" selected="0">
            <x v="33"/>
          </reference>
          <reference field="13" count="1">
            <x v="2"/>
          </reference>
        </references>
      </pivotArea>
    </format>
    <format dxfId="1681">
      <pivotArea dataOnly="0" labelOnly="1" outline="0" fieldPosition="0">
        <references count="7">
          <reference field="0" count="1" selected="0">
            <x v="21"/>
          </reference>
          <reference field="4" count="1" selected="0">
            <x v="2"/>
          </reference>
          <reference field="5" count="1" selected="0">
            <x v="2"/>
          </reference>
          <reference field="8" count="1" selected="0">
            <x v="6"/>
          </reference>
          <reference field="11" count="1" selected="0">
            <x v="2"/>
          </reference>
          <reference field="12" count="1" selected="0">
            <x v="13"/>
          </reference>
          <reference field="13" count="1">
            <x v="4"/>
          </reference>
        </references>
      </pivotArea>
    </format>
    <format dxfId="1680">
      <pivotArea dataOnly="0" labelOnly="1" outline="0" fieldPosition="0">
        <references count="7">
          <reference field="0" count="1" selected="0">
            <x v="22"/>
          </reference>
          <reference field="4" count="1" selected="0">
            <x v="2"/>
          </reference>
          <reference field="5" count="1" selected="0">
            <x v="2"/>
          </reference>
          <reference field="8" count="1" selected="0">
            <x v="6"/>
          </reference>
          <reference field="11" count="1" selected="0">
            <x v="4"/>
          </reference>
          <reference field="12" count="1" selected="0">
            <x v="17"/>
          </reference>
          <reference field="13" count="1">
            <x v="20"/>
          </reference>
        </references>
      </pivotArea>
    </format>
    <format dxfId="1679">
      <pivotArea dataOnly="0" labelOnly="1" outline="0" fieldPosition="0">
        <references count="7">
          <reference field="0" count="1" selected="0">
            <x v="23"/>
          </reference>
          <reference field="4" count="1" selected="0">
            <x v="2"/>
          </reference>
          <reference field="5" count="1" selected="0">
            <x v="2"/>
          </reference>
          <reference field="8" count="1" selected="0">
            <x v="3"/>
          </reference>
          <reference field="11" count="1" selected="0">
            <x v="4"/>
          </reference>
          <reference field="12" count="1" selected="0">
            <x v="19"/>
          </reference>
          <reference field="13" count="1">
            <x v="22"/>
          </reference>
        </references>
      </pivotArea>
    </format>
    <format dxfId="1678">
      <pivotArea dataOnly="0" labelOnly="1" outline="0" fieldPosition="0">
        <references count="7">
          <reference field="0" count="1" selected="0">
            <x v="24"/>
          </reference>
          <reference field="4" count="1" selected="0">
            <x v="2"/>
          </reference>
          <reference field="5" count="1" selected="0">
            <x v="2"/>
          </reference>
          <reference field="8" count="1" selected="0">
            <x v="7"/>
          </reference>
          <reference field="11" count="1" selected="0">
            <x v="0"/>
          </reference>
          <reference field="12" count="1" selected="0">
            <x v="0"/>
          </reference>
          <reference field="13" count="1">
            <x v="10"/>
          </reference>
        </references>
      </pivotArea>
    </format>
    <format dxfId="1677">
      <pivotArea dataOnly="0" labelOnly="1" outline="0" fieldPosition="0">
        <references count="7">
          <reference field="0" count="1" selected="0">
            <x v="24"/>
          </reference>
          <reference field="4" count="1" selected="0">
            <x v="2"/>
          </reference>
          <reference field="5" count="1" selected="0">
            <x v="2"/>
          </reference>
          <reference field="8" count="1" selected="0">
            <x v="7"/>
          </reference>
          <reference field="11" count="1" selected="0">
            <x v="0"/>
          </reference>
          <reference field="12" count="1" selected="0">
            <x v="1"/>
          </reference>
          <reference field="13" count="1">
            <x v="25"/>
          </reference>
        </references>
      </pivotArea>
    </format>
    <format dxfId="1676">
      <pivotArea dataOnly="0" labelOnly="1" outline="0" fieldPosition="0">
        <references count="7">
          <reference field="0" count="1" selected="0">
            <x v="25"/>
          </reference>
          <reference field="4" count="1" selected="0">
            <x v="2"/>
          </reference>
          <reference field="5" count="1" selected="0">
            <x v="2"/>
          </reference>
          <reference field="8" count="1" selected="0">
            <x v="7"/>
          </reference>
          <reference field="11" count="1" selected="0">
            <x v="0"/>
          </reference>
          <reference field="12" count="1" selected="0">
            <x v="15"/>
          </reference>
          <reference field="13" count="1">
            <x v="34"/>
          </reference>
        </references>
      </pivotArea>
    </format>
    <format dxfId="1675">
      <pivotArea dataOnly="0" labelOnly="1" outline="0" fieldPosition="0">
        <references count="7">
          <reference field="0" count="1" selected="0">
            <x v="25"/>
          </reference>
          <reference field="4" count="1" selected="0">
            <x v="2"/>
          </reference>
          <reference field="5" count="1" selected="0">
            <x v="2"/>
          </reference>
          <reference field="8" count="1" selected="0">
            <x v="7"/>
          </reference>
          <reference field="11" count="1" selected="0">
            <x v="1"/>
          </reference>
          <reference field="12" count="1" selected="0">
            <x v="18"/>
          </reference>
          <reference field="13" count="1">
            <x v="24"/>
          </reference>
        </references>
      </pivotArea>
    </format>
    <format dxfId="1674">
      <pivotArea dataOnly="0" labelOnly="1" outline="0" fieldPosition="0">
        <references count="7">
          <reference field="0" count="1" selected="0">
            <x v="26"/>
          </reference>
          <reference field="4" count="1" selected="0">
            <x v="2"/>
          </reference>
          <reference field="5" count="1" selected="0">
            <x v="2"/>
          </reference>
          <reference field="8" count="1" selected="0">
            <x v="5"/>
          </reference>
          <reference field="11" count="1" selected="0">
            <x v="7"/>
          </reference>
          <reference field="12" count="1" selected="0">
            <x v="34"/>
          </reference>
          <reference field="13" count="1">
            <x v="18"/>
          </reference>
        </references>
      </pivotArea>
    </format>
    <format dxfId="1673">
      <pivotArea dataOnly="0" labelOnly="1" outline="0" fieldPosition="0">
        <references count="7">
          <reference field="0" count="1" selected="0">
            <x v="27"/>
          </reference>
          <reference field="4" count="1" selected="0">
            <x v="2"/>
          </reference>
          <reference field="5" count="1" selected="0">
            <x v="3"/>
          </reference>
          <reference field="8" count="1" selected="0">
            <x v="7"/>
          </reference>
          <reference field="11" count="1" selected="0">
            <x v="6"/>
          </reference>
          <reference field="12" count="1" selected="0">
            <x v="6"/>
          </reference>
          <reference field="13" count="1">
            <x v="33"/>
          </reference>
        </references>
      </pivotArea>
    </format>
    <format dxfId="1672">
      <pivotArea dataOnly="0" labelOnly="1" outline="0" fieldPosition="0">
        <references count="7">
          <reference field="0" count="1" selected="0">
            <x v="28"/>
          </reference>
          <reference field="4" count="1" selected="0">
            <x v="2"/>
          </reference>
          <reference field="5" count="1" selected="0">
            <x v="3"/>
          </reference>
          <reference field="8" count="1" selected="0">
            <x v="7"/>
          </reference>
          <reference field="11" count="1" selected="0">
            <x v="6"/>
          </reference>
          <reference field="12" count="1" selected="0">
            <x v="7"/>
          </reference>
          <reference field="13" count="1">
            <x v="15"/>
          </reference>
        </references>
      </pivotArea>
    </format>
    <format dxfId="1671">
      <pivotArea dataOnly="0" labelOnly="1" outline="0" fieldPosition="0">
        <references count="7">
          <reference field="0" count="1" selected="0">
            <x v="29"/>
          </reference>
          <reference field="4" count="1" selected="0">
            <x v="2"/>
          </reference>
          <reference field="5" count="1" selected="0">
            <x v="3"/>
          </reference>
          <reference field="8" count="1" selected="0">
            <x v="3"/>
          </reference>
          <reference field="11" count="1" selected="0">
            <x v="4"/>
          </reference>
          <reference field="12" count="1" selected="0">
            <x v="11"/>
          </reference>
          <reference field="13" count="1">
            <x v="21"/>
          </reference>
        </references>
      </pivotArea>
    </format>
    <format dxfId="1670">
      <pivotArea dataOnly="0" labelOnly="1" outline="0" fieldPosition="0">
        <references count="7">
          <reference field="0" count="1" selected="0">
            <x v="30"/>
          </reference>
          <reference field="4" count="1" selected="0">
            <x v="2"/>
          </reference>
          <reference field="5" count="1" selected="0">
            <x v="3"/>
          </reference>
          <reference field="8" count="1" selected="0">
            <x v="4"/>
          </reference>
          <reference field="11" count="1" selected="0">
            <x v="0"/>
          </reference>
          <reference field="12" count="1" selected="0">
            <x v="5"/>
          </reference>
          <reference field="13" count="1">
            <x v="7"/>
          </reference>
        </references>
      </pivotArea>
    </format>
    <format dxfId="1669">
      <pivotArea dataOnly="0" labelOnly="1" outline="0" fieldPosition="0">
        <references count="7">
          <reference field="0" count="1" selected="0">
            <x v="30"/>
          </reference>
          <reference field="4" count="1" selected="0">
            <x v="2"/>
          </reference>
          <reference field="5" count="1" selected="0">
            <x v="3"/>
          </reference>
          <reference field="8" count="1" selected="0">
            <x v="4"/>
          </reference>
          <reference field="11" count="1" selected="0">
            <x v="0"/>
          </reference>
          <reference field="12" count="1" selected="0">
            <x v="8"/>
          </reference>
          <reference field="13" count="1">
            <x v="8"/>
          </reference>
        </references>
      </pivotArea>
    </format>
    <format dxfId="1668">
      <pivotArea dataOnly="0" labelOnly="1" outline="0" fieldPosition="0">
        <references count="7">
          <reference field="0" count="1" selected="0">
            <x v="31"/>
          </reference>
          <reference field="4" count="1" selected="0">
            <x v="2"/>
          </reference>
          <reference field="5" count="1" selected="0">
            <x v="3"/>
          </reference>
          <reference field="8" count="1" selected="0">
            <x v="0"/>
          </reference>
          <reference field="11" count="1" selected="0">
            <x v="6"/>
          </reference>
          <reference field="12" count="1" selected="0">
            <x v="9"/>
          </reference>
          <reference field="13" count="1">
            <x v="26"/>
          </reference>
        </references>
      </pivotArea>
    </format>
    <format dxfId="1667">
      <pivotArea dataOnly="0" labelOnly="1" outline="0" fieldPosition="0">
        <references count="7">
          <reference field="0" count="1" selected="0">
            <x v="32"/>
          </reference>
          <reference field="4" count="1" selected="0">
            <x v="2"/>
          </reference>
          <reference field="5" count="1" selected="0">
            <x v="3"/>
          </reference>
          <reference field="8" count="1" selected="0">
            <x v="0"/>
          </reference>
          <reference field="11" count="1" selected="0">
            <x v="6"/>
          </reference>
          <reference field="12" count="1" selected="0">
            <x v="10"/>
          </reference>
          <reference field="13" count="1">
            <x v="27"/>
          </reference>
        </references>
      </pivotArea>
    </format>
    <format dxfId="1666">
      <pivotArea dataOnly="0" labelOnly="1" outline="0" fieldPosition="0">
        <references count="7">
          <reference field="0" count="1" selected="0">
            <x v="35"/>
          </reference>
          <reference field="4" count="1" selected="0">
            <x v="1"/>
          </reference>
          <reference field="5" count="1" selected="0">
            <x v="4"/>
          </reference>
          <reference field="8" count="1" selected="0">
            <x v="3"/>
          </reference>
          <reference field="11" count="1" selected="0">
            <x v="4"/>
          </reference>
          <reference field="12" count="1" selected="0">
            <x v="4"/>
          </reference>
          <reference field="13" count="1">
            <x v="31"/>
          </reference>
        </references>
      </pivotArea>
    </format>
    <format dxfId="1665">
      <pivotArea dataOnly="0" labelOnly="1" outline="0" fieldPosition="0">
        <references count="7">
          <reference field="0" count="1" selected="0">
            <x v="36"/>
          </reference>
          <reference field="4" count="1" selected="0">
            <x v="1"/>
          </reference>
          <reference field="5" count="1" selected="0">
            <x v="4"/>
          </reference>
          <reference field="8" count="1" selected="0">
            <x v="3"/>
          </reference>
          <reference field="11" count="1" selected="0">
            <x v="4"/>
          </reference>
          <reference field="12" count="1" selected="0">
            <x v="3"/>
          </reference>
          <reference field="13" count="1">
            <x v="16"/>
          </reference>
        </references>
      </pivotArea>
    </format>
    <format dxfId="1664">
      <pivotArea dataOnly="0" labelOnly="1" outline="0" fieldPosition="0">
        <references count="7">
          <reference field="0" count="1" selected="0">
            <x v="37"/>
          </reference>
          <reference field="4" count="1" selected="0">
            <x v="1"/>
          </reference>
          <reference field="5" count="1" selected="0">
            <x v="4"/>
          </reference>
          <reference field="8" count="1" selected="0">
            <x v="5"/>
          </reference>
          <reference field="11" count="1" selected="0">
            <x v="7"/>
          </reference>
          <reference field="12" count="1" selected="0">
            <x v="34"/>
          </reference>
          <reference field="13" count="1">
            <x v="18"/>
          </reference>
        </references>
      </pivotArea>
    </format>
    <format dxfId="1663">
      <pivotArea dataOnly="0" labelOnly="1" outline="0" fieldPosition="0">
        <references count="7">
          <reference field="0" count="1" selected="0">
            <x v="38"/>
          </reference>
          <reference field="4" count="1" selected="0">
            <x v="1"/>
          </reference>
          <reference field="5" count="1" selected="0">
            <x v="4"/>
          </reference>
          <reference field="8" count="1" selected="0">
            <x v="4"/>
          </reference>
          <reference field="11" count="1" selected="0">
            <x v="0"/>
          </reference>
          <reference field="12" count="1" selected="0">
            <x v="0"/>
          </reference>
          <reference field="13" count="1">
            <x v="10"/>
          </reference>
        </references>
      </pivotArea>
    </format>
    <format dxfId="1662">
      <pivotArea dataOnly="0" labelOnly="1" outline="0" fieldPosition="0">
        <references count="7">
          <reference field="0" count="1" selected="0">
            <x v="38"/>
          </reference>
          <reference field="4" count="1" selected="0">
            <x v="1"/>
          </reference>
          <reference field="5" count="1" selected="0">
            <x v="4"/>
          </reference>
          <reference field="8" count="1" selected="0">
            <x v="4"/>
          </reference>
          <reference field="11" count="1" selected="0">
            <x v="0"/>
          </reference>
          <reference field="12" count="1" selected="0">
            <x v="1"/>
          </reference>
          <reference field="13" count="1">
            <x v="25"/>
          </reference>
        </references>
      </pivotArea>
    </format>
    <format dxfId="1661">
      <pivotArea dataOnly="0" labelOnly="1" outline="0" fieldPosition="0">
        <references count="7">
          <reference field="0" count="1" selected="0">
            <x v="38"/>
          </reference>
          <reference field="4" count="1" selected="0">
            <x v="1"/>
          </reference>
          <reference field="5" count="1" selected="0">
            <x v="4"/>
          </reference>
          <reference field="8" count="1" selected="0">
            <x v="4"/>
          </reference>
          <reference field="11" count="1" selected="0">
            <x v="0"/>
          </reference>
          <reference field="12" count="1" selected="0">
            <x v="2"/>
          </reference>
          <reference field="13" count="1">
            <x v="3"/>
          </reference>
        </references>
      </pivotArea>
    </format>
    <format dxfId="1660">
      <pivotArea dataOnly="0" labelOnly="1" outline="0" fieldPosition="0">
        <references count="7">
          <reference field="0" count="1" selected="0">
            <x v="39"/>
          </reference>
          <reference field="4" count="1" selected="0">
            <x v="1"/>
          </reference>
          <reference field="5" count="1" selected="0">
            <x v="5"/>
          </reference>
          <reference field="8" count="1" selected="0">
            <x v="3"/>
          </reference>
          <reference field="11" count="1" selected="0">
            <x v="4"/>
          </reference>
          <reference field="12" count="1" selected="0">
            <x v="21"/>
          </reference>
          <reference field="13" count="1">
            <x v="17"/>
          </reference>
        </references>
      </pivotArea>
    </format>
    <format dxfId="1659">
      <pivotArea dataOnly="0" labelOnly="1" outline="0" fieldPosition="0">
        <references count="7">
          <reference field="0" count="1" selected="0">
            <x v="40"/>
          </reference>
          <reference field="4" count="1" selected="0">
            <x v="1"/>
          </reference>
          <reference field="5" count="1" selected="0">
            <x v="5"/>
          </reference>
          <reference field="8" count="1" selected="0">
            <x v="6"/>
          </reference>
          <reference field="11" count="1" selected="0">
            <x v="0"/>
          </reference>
          <reference field="12" count="1" selected="0">
            <x v="15"/>
          </reference>
          <reference field="13" count="1">
            <x v="34"/>
          </reference>
        </references>
      </pivotArea>
    </format>
    <format dxfId="1658">
      <pivotArea dataOnly="0" labelOnly="1" outline="0" fieldPosition="0">
        <references count="7">
          <reference field="0" count="1" selected="0">
            <x v="43"/>
          </reference>
          <reference field="4" count="1" selected="0">
            <x v="1"/>
          </reference>
          <reference field="5" count="1" selected="0">
            <x v="5"/>
          </reference>
          <reference field="8" count="1" selected="0">
            <x v="6"/>
          </reference>
          <reference field="11" count="1" selected="0">
            <x v="1"/>
          </reference>
          <reference field="12" count="1" selected="0">
            <x v="22"/>
          </reference>
          <reference field="13" count="1">
            <x v="1"/>
          </reference>
        </references>
      </pivotArea>
    </format>
    <format dxfId="1657">
      <pivotArea dataOnly="0" labelOnly="1" outline="0" fieldPosition="0">
        <references count="7">
          <reference field="0" count="1" selected="0">
            <x v="44"/>
          </reference>
          <reference field="4" count="1" selected="0">
            <x v="1"/>
          </reference>
          <reference field="5" count="1" selected="0">
            <x v="5"/>
          </reference>
          <reference field="8" count="1" selected="0">
            <x v="6"/>
          </reference>
          <reference field="11" count="1" selected="0">
            <x v="1"/>
          </reference>
          <reference field="12" count="1" selected="0">
            <x v="13"/>
          </reference>
          <reference field="13" count="1">
            <x v="4"/>
          </reference>
        </references>
      </pivotArea>
    </format>
    <format dxfId="1656">
      <pivotArea dataOnly="0" labelOnly="1" outline="0" fieldPosition="0">
        <references count="7">
          <reference field="0" count="1" selected="0">
            <x v="44"/>
          </reference>
          <reference field="4" count="1" selected="0">
            <x v="1"/>
          </reference>
          <reference field="5" count="1" selected="0">
            <x v="5"/>
          </reference>
          <reference field="8" count="1" selected="0">
            <x v="6"/>
          </reference>
          <reference field="11" count="1" selected="0">
            <x v="1"/>
          </reference>
          <reference field="12" count="1" selected="0">
            <x v="16"/>
          </reference>
          <reference field="13" count="1">
            <x v="5"/>
          </reference>
        </references>
      </pivotArea>
    </format>
    <format dxfId="1655">
      <pivotArea dataOnly="0" labelOnly="1" outline="0" fieldPosition="0">
        <references count="7">
          <reference field="0" count="1" selected="0">
            <x v="49"/>
          </reference>
          <reference field="4" count="1" selected="0">
            <x v="1"/>
          </reference>
          <reference field="5" count="1" selected="0">
            <x v="5"/>
          </reference>
          <reference field="8" count="1" selected="0">
            <x v="3"/>
          </reference>
          <reference field="11" count="1" selected="0">
            <x v="4"/>
          </reference>
          <reference field="12" count="1" selected="0">
            <x v="12"/>
          </reference>
          <reference field="13" count="1">
            <x v="28"/>
          </reference>
        </references>
      </pivotArea>
    </format>
    <format dxfId="1654">
      <pivotArea dataOnly="0" labelOnly="1" outline="0" fieldPosition="0">
        <references count="7">
          <reference field="0" count="1" selected="0">
            <x v="50"/>
          </reference>
          <reference field="4" count="1" selected="0">
            <x v="1"/>
          </reference>
          <reference field="5" count="1" selected="0">
            <x v="5"/>
          </reference>
          <reference field="8" count="1" selected="0">
            <x v="3"/>
          </reference>
          <reference field="11" count="1" selected="0">
            <x v="4"/>
          </reference>
          <reference field="12" count="1" selected="0">
            <x v="20"/>
          </reference>
          <reference field="13" count="1">
            <x v="35"/>
          </reference>
        </references>
      </pivotArea>
    </format>
    <format dxfId="1653">
      <pivotArea dataOnly="0" labelOnly="1" outline="0" fieldPosition="0">
        <references count="7">
          <reference field="0" count="1" selected="0">
            <x v="52"/>
          </reference>
          <reference field="4" count="1" selected="0">
            <x v="1"/>
          </reference>
          <reference field="5" count="1" selected="0">
            <x v="6"/>
          </reference>
          <reference field="8" count="1" selected="0">
            <x v="3"/>
          </reference>
          <reference field="11" count="1" selected="0">
            <x v="4"/>
          </reference>
          <reference field="12" count="1" selected="0">
            <x v="21"/>
          </reference>
          <reference field="13" count="1">
            <x v="17"/>
          </reference>
        </references>
      </pivotArea>
    </format>
    <format dxfId="1652">
      <pivotArea dataOnly="0" labelOnly="1" outline="0" fieldPosition="0">
        <references count="7">
          <reference field="0" count="1" selected="0">
            <x v="53"/>
          </reference>
          <reference field="4" count="1" selected="0">
            <x v="1"/>
          </reference>
          <reference field="5" count="1" selected="0">
            <x v="6"/>
          </reference>
          <reference field="8" count="1" selected="0">
            <x v="6"/>
          </reference>
          <reference field="11" count="1" selected="0">
            <x v="0"/>
          </reference>
          <reference field="12" count="1" selected="0">
            <x v="15"/>
          </reference>
          <reference field="13" count="1">
            <x v="34"/>
          </reference>
        </references>
      </pivotArea>
    </format>
    <format dxfId="1651">
      <pivotArea dataOnly="0" labelOnly="1" outline="0" fieldPosition="0">
        <references count="7">
          <reference field="0" count="1" selected="0">
            <x v="58"/>
          </reference>
          <reference field="4" count="1" selected="0">
            <x v="1"/>
          </reference>
          <reference field="5" count="1" selected="0">
            <x v="6"/>
          </reference>
          <reference field="8" count="1" selected="0">
            <x v="3"/>
          </reference>
          <reference field="11" count="1" selected="0">
            <x v="4"/>
          </reference>
          <reference field="12" count="1" selected="0">
            <x v="24"/>
          </reference>
          <reference field="13" count="1">
            <x v="9"/>
          </reference>
        </references>
      </pivotArea>
    </format>
    <format dxfId="1650">
      <pivotArea dataOnly="0" labelOnly="1" outline="0" fieldPosition="0">
        <references count="7">
          <reference field="0" count="1" selected="0">
            <x v="59"/>
          </reference>
          <reference field="4" count="1" selected="0">
            <x v="1"/>
          </reference>
          <reference field="5" count="1" selected="0">
            <x v="6"/>
          </reference>
          <reference field="8" count="1" selected="0">
            <x v="3"/>
          </reference>
          <reference field="11" count="1" selected="0">
            <x v="4"/>
          </reference>
          <reference field="12" count="1" selected="0">
            <x v="24"/>
          </reference>
          <reference field="13" count="1">
            <x v="9"/>
          </reference>
        </references>
      </pivotArea>
    </format>
    <format dxfId="1649">
      <pivotArea dataOnly="0" labelOnly="1" outline="0" fieldPosition="0">
        <references count="7">
          <reference field="0" count="1" selected="0">
            <x v="64"/>
          </reference>
          <reference field="4" count="1" selected="0">
            <x v="1"/>
          </reference>
          <reference field="5" count="1" selected="0">
            <x v="6"/>
          </reference>
          <reference field="8" count="1" selected="0">
            <x v="7"/>
          </reference>
          <reference field="11" count="1" selected="0">
            <x v="0"/>
          </reference>
          <reference field="12" count="1" selected="0">
            <x v="0"/>
          </reference>
          <reference field="13" count="1">
            <x v="10"/>
          </reference>
        </references>
      </pivotArea>
    </format>
    <format dxfId="1648">
      <pivotArea dataOnly="0" labelOnly="1" outline="0" fieldPosition="0">
        <references count="7">
          <reference field="0" count="1" selected="0">
            <x v="64"/>
          </reference>
          <reference field="4" count="1" selected="0">
            <x v="1"/>
          </reference>
          <reference field="5" count="1" selected="0">
            <x v="6"/>
          </reference>
          <reference field="8" count="1" selected="0">
            <x v="7"/>
          </reference>
          <reference field="11" count="1" selected="0">
            <x v="0"/>
          </reference>
          <reference field="12" count="1" selected="0">
            <x v="1"/>
          </reference>
          <reference field="13" count="1">
            <x v="25"/>
          </reference>
        </references>
      </pivotArea>
    </format>
    <format dxfId="1647">
      <pivotArea dataOnly="0" labelOnly="1" outline="0" fieldPosition="0">
        <references count="7">
          <reference field="0" count="1" selected="0">
            <x v="65"/>
          </reference>
          <reference field="4" count="1" selected="0">
            <x v="1"/>
          </reference>
          <reference field="5" count="1" selected="0">
            <x v="6"/>
          </reference>
          <reference field="8" count="1" selected="0">
            <x v="3"/>
          </reference>
          <reference field="11" count="1" selected="0">
            <x v="6"/>
          </reference>
          <reference field="12" count="1" selected="0">
            <x v="23"/>
          </reference>
          <reference field="13" count="1">
            <x v="11"/>
          </reference>
        </references>
      </pivotArea>
    </format>
    <format dxfId="1646">
      <pivotArea dataOnly="0" labelOnly="1" outline="0" fieldPosition="0">
        <references count="7">
          <reference field="0" count="1" selected="0">
            <x v="67"/>
          </reference>
          <reference field="4" count="1" selected="0">
            <x v="0"/>
          </reference>
          <reference field="5" count="1" selected="0">
            <x v="7"/>
          </reference>
          <reference field="8" count="1" selected="0">
            <x v="2"/>
          </reference>
          <reference field="11" count="1" selected="0">
            <x v="0"/>
          </reference>
          <reference field="12" count="1" selected="0">
            <x v="25"/>
          </reference>
          <reference field="13" count="1">
            <x v="12"/>
          </reference>
        </references>
      </pivotArea>
    </format>
    <format dxfId="1645">
      <pivotArea dataOnly="0" labelOnly="1" outline="0" fieldPosition="0">
        <references count="7">
          <reference field="0" count="1" selected="0">
            <x v="68"/>
          </reference>
          <reference field="4" count="1" selected="0">
            <x v="0"/>
          </reference>
          <reference field="5" count="1" selected="0">
            <x v="7"/>
          </reference>
          <reference field="8" count="1" selected="0">
            <x v="2"/>
          </reference>
          <reference field="11" count="1" selected="0">
            <x v="1"/>
          </reference>
          <reference field="12" count="1" selected="0">
            <x v="26"/>
          </reference>
          <reference field="13" count="1">
            <x v="13"/>
          </reference>
        </references>
      </pivotArea>
    </format>
    <format dxfId="1644">
      <pivotArea dataOnly="0" labelOnly="1" outline="0" fieldPosition="0">
        <references count="7">
          <reference field="0" count="1" selected="0">
            <x v="69"/>
          </reference>
          <reference field="4" count="1" selected="0">
            <x v="0"/>
          </reference>
          <reference field="5" count="1" selected="0">
            <x v="7"/>
          </reference>
          <reference field="8" count="1" selected="0">
            <x v="2"/>
          </reference>
          <reference field="11" count="1" selected="0">
            <x v="0"/>
          </reference>
          <reference field="12" count="1" selected="0">
            <x v="25"/>
          </reference>
          <reference field="13" count="1">
            <x v="12"/>
          </reference>
        </references>
      </pivotArea>
    </format>
    <format dxfId="1643">
      <pivotArea dataOnly="0" labelOnly="1" outline="0" fieldPosition="0">
        <references count="7">
          <reference field="0" count="1" selected="0">
            <x v="70"/>
          </reference>
          <reference field="4" count="1" selected="0">
            <x v="0"/>
          </reference>
          <reference field="5" count="1" selected="0">
            <x v="8"/>
          </reference>
          <reference field="8" count="1" selected="0">
            <x v="2"/>
          </reference>
          <reference field="11" count="1" selected="0">
            <x v="0"/>
          </reference>
          <reference field="12" count="1" selected="0">
            <x v="8"/>
          </reference>
          <reference field="13" count="1">
            <x v="8"/>
          </reference>
        </references>
      </pivotArea>
    </format>
    <format dxfId="1642">
      <pivotArea dataOnly="0" labelOnly="1" outline="0" fieldPosition="0">
        <references count="7">
          <reference field="0" count="1" selected="0">
            <x v="71"/>
          </reference>
          <reference field="4" count="1" selected="0">
            <x v="0"/>
          </reference>
          <reference field="5" count="1" selected="0">
            <x v="8"/>
          </reference>
          <reference field="8" count="1" selected="0">
            <x v="2"/>
          </reference>
          <reference field="11" count="1" selected="0">
            <x v="5"/>
          </reference>
          <reference field="12" count="1" selected="0">
            <x v="20"/>
          </reference>
          <reference field="13" count="1">
            <x v="35"/>
          </reference>
        </references>
      </pivotArea>
    </format>
    <format dxfId="1641">
      <pivotArea dataOnly="0" labelOnly="1" outline="0" fieldPosition="0">
        <references count="7">
          <reference field="0" count="1" selected="0">
            <x v="72"/>
          </reference>
          <reference field="4" count="1" selected="0">
            <x v="0"/>
          </reference>
          <reference field="5" count="1" selected="0">
            <x v="8"/>
          </reference>
          <reference field="8" count="1" selected="0">
            <x v="2"/>
          </reference>
          <reference field="11" count="1" selected="0">
            <x v="0"/>
          </reference>
          <reference field="12" count="1" selected="0">
            <x v="27"/>
          </reference>
          <reference field="13" count="1">
            <x v="6"/>
          </reference>
        </references>
      </pivotArea>
    </format>
    <format dxfId="1640">
      <pivotArea dataOnly="0" labelOnly="1" outline="0" fieldPosition="0">
        <references count="7">
          <reference field="0" count="1" selected="0">
            <x v="0"/>
          </reference>
          <reference field="4" count="1" selected="0">
            <x v="0"/>
          </reference>
          <reference field="5" count="1" selected="0">
            <x v="9"/>
          </reference>
          <reference field="8" count="1" selected="0">
            <x v="2"/>
          </reference>
          <reference field="11" count="1" selected="0">
            <x v="0"/>
          </reference>
          <reference field="12" count="1" selected="0">
            <x v="28"/>
          </reference>
          <reference field="13" count="1">
            <x v="32"/>
          </reference>
        </references>
      </pivotArea>
    </format>
    <format dxfId="1639">
      <pivotArea dataOnly="0" labelOnly="1" outline="0" fieldPosition="0">
        <references count="7">
          <reference field="0" count="1" selected="0">
            <x v="1"/>
          </reference>
          <reference field="4" count="1" selected="0">
            <x v="0"/>
          </reference>
          <reference field="5" count="1" selected="0">
            <x v="9"/>
          </reference>
          <reference field="8" count="1" selected="0">
            <x v="2"/>
          </reference>
          <reference field="11" count="1" selected="0">
            <x v="5"/>
          </reference>
          <reference field="12" count="1" selected="0">
            <x v="31"/>
          </reference>
          <reference field="13" count="1">
            <x v="14"/>
          </reference>
        </references>
      </pivotArea>
    </format>
    <format dxfId="1638">
      <pivotArea dataOnly="0" labelOnly="1" outline="0" fieldPosition="0">
        <references count="7">
          <reference field="0" count="1" selected="0">
            <x v="2"/>
          </reference>
          <reference field="4" count="1" selected="0">
            <x v="0"/>
          </reference>
          <reference field="5" count="1" selected="0">
            <x v="9"/>
          </reference>
          <reference field="8" count="1" selected="0">
            <x v="2"/>
          </reference>
          <reference field="11" count="1" selected="0">
            <x v="0"/>
          </reference>
          <reference field="12" count="1" selected="0">
            <x v="28"/>
          </reference>
          <reference field="13" count="1">
            <x v="32"/>
          </reference>
        </references>
      </pivotArea>
    </format>
    <format dxfId="1637">
      <pivotArea dataOnly="0" labelOnly="1" outline="0" fieldPosition="0">
        <references count="7">
          <reference field="0" count="1" selected="0">
            <x v="3"/>
          </reference>
          <reference field="4" count="1" selected="0">
            <x v="0"/>
          </reference>
          <reference field="5" count="1" selected="0">
            <x v="10"/>
          </reference>
          <reference field="8" count="1" selected="0">
            <x v="2"/>
          </reference>
          <reference field="11" count="1" selected="0">
            <x v="3"/>
          </reference>
          <reference field="12" count="1" selected="0">
            <x v="29"/>
          </reference>
          <reference field="13" count="1">
            <x v="30"/>
          </reference>
        </references>
      </pivotArea>
    </format>
    <format dxfId="1636">
      <pivotArea dataOnly="0" labelOnly="1" outline="0" fieldPosition="0">
        <references count="7">
          <reference field="0" count="1" selected="0">
            <x v="4"/>
          </reference>
          <reference field="4" count="1" selected="0">
            <x v="0"/>
          </reference>
          <reference field="5" count="1" selected="0">
            <x v="10"/>
          </reference>
          <reference field="8" count="1" selected="0">
            <x v="2"/>
          </reference>
          <reference field="11" count="1" selected="0">
            <x v="5"/>
          </reference>
          <reference field="12" count="1" selected="0">
            <x v="32"/>
          </reference>
          <reference field="13" count="1">
            <x v="23"/>
          </reference>
        </references>
      </pivotArea>
    </format>
    <format dxfId="1635">
      <pivotArea dataOnly="0" labelOnly="1" outline="0" fieldPosition="0">
        <references count="7">
          <reference field="0" count="1" selected="0">
            <x v="5"/>
          </reference>
          <reference field="4" count="1" selected="0">
            <x v="0"/>
          </reference>
          <reference field="5" count="1" selected="0">
            <x v="10"/>
          </reference>
          <reference field="8" count="1" selected="0">
            <x v="2"/>
          </reference>
          <reference field="11" count="1" selected="0">
            <x v="3"/>
          </reference>
          <reference field="12" count="1" selected="0">
            <x v="29"/>
          </reference>
          <reference field="13" count="1">
            <x v="30"/>
          </reference>
        </references>
      </pivotArea>
    </format>
    <format dxfId="1634">
      <pivotArea dataOnly="0" labelOnly="1" outline="0" fieldPosition="0">
        <references count="7">
          <reference field="0" count="1" selected="0">
            <x v="6"/>
          </reference>
          <reference field="4" count="1" selected="0">
            <x v="0"/>
          </reference>
          <reference field="5" count="1" selected="0">
            <x v="11"/>
          </reference>
          <reference field="8" count="1" selected="0">
            <x v="2"/>
          </reference>
          <reference field="11" count="1" selected="0">
            <x v="3"/>
          </reference>
          <reference field="12" count="1" selected="0">
            <x v="30"/>
          </reference>
          <reference field="13" count="1">
            <x v="29"/>
          </reference>
        </references>
      </pivotArea>
    </format>
    <format dxfId="1633">
      <pivotArea dataOnly="0" labelOnly="1" outline="0" fieldPosition="0">
        <references count="7">
          <reference field="0" count="1" selected="0">
            <x v="7"/>
          </reference>
          <reference field="4" count="1" selected="0">
            <x v="0"/>
          </reference>
          <reference field="5" count="1" selected="0">
            <x v="11"/>
          </reference>
          <reference field="8" count="1" selected="0">
            <x v="2"/>
          </reference>
          <reference field="11" count="1" selected="0">
            <x v="5"/>
          </reference>
          <reference field="12" count="1" selected="0">
            <x v="32"/>
          </reference>
          <reference field="13" count="1">
            <x v="23"/>
          </reference>
        </references>
      </pivotArea>
    </format>
    <format dxfId="1632">
      <pivotArea dataOnly="0" labelOnly="1" outline="0" fieldPosition="0">
        <references count="7">
          <reference field="0" count="1" selected="0">
            <x v="8"/>
          </reference>
          <reference field="4" count="1" selected="0">
            <x v="0"/>
          </reference>
          <reference field="5" count="1" selected="0">
            <x v="11"/>
          </reference>
          <reference field="8" count="1" selected="0">
            <x v="2"/>
          </reference>
          <reference field="11" count="1" selected="0">
            <x v="3"/>
          </reference>
          <reference field="12" count="1" selected="0">
            <x v="30"/>
          </reference>
          <reference field="13" count="1">
            <x v="29"/>
          </reference>
        </references>
      </pivotArea>
    </format>
    <format dxfId="1631">
      <pivotArea dataOnly="0" labelOnly="1" outline="0" fieldPosition="0">
        <references count="1">
          <reference field="12" count="0"/>
        </references>
      </pivotArea>
    </format>
    <format dxfId="1630">
      <pivotArea dataOnly="0" labelOnly="1" outline="0" fieldPosition="0">
        <references count="1">
          <reference field="5" count="0"/>
        </references>
      </pivotArea>
    </format>
    <format dxfId="1629">
      <pivotArea field="12" type="button" dataOnly="0" labelOnly="1" outline="0" axis="axisRow" fieldPosition="5"/>
    </format>
    <format dxfId="1628">
      <pivotArea field="18" type="button" dataOnly="0" labelOnly="1" outline="0" axis="axisRow" fieldPosition="10"/>
    </format>
    <format dxfId="1627">
      <pivotArea field="11" type="button" dataOnly="0" labelOnly="1" outline="0" axis="axisRow" fieldPosition="6"/>
    </format>
    <format dxfId="1626">
      <pivotArea field="12" type="button" dataOnly="0" labelOnly="1" outline="0" axis="axisRow" fieldPosition="5"/>
    </format>
    <format dxfId="1625">
      <pivotArea field="11" type="button" dataOnly="0" labelOnly="1" outline="0" axis="axisRow" fieldPosition="6"/>
    </format>
    <format dxfId="1624">
      <pivotArea dataOnly="0" labelOnly="1" outline="0" fieldPosition="0">
        <references count="1">
          <reference field="5" count="1" defaultSubtotal="1">
            <x v="0"/>
          </reference>
        </references>
      </pivotArea>
    </format>
    <format dxfId="1623">
      <pivotArea dataOnly="0" labelOnly="1" outline="0" fieldPosition="0">
        <references count="1">
          <reference field="5" count="1" defaultSubtotal="1">
            <x v="1"/>
          </reference>
        </references>
      </pivotArea>
    </format>
    <format dxfId="1622">
      <pivotArea dataOnly="0" labelOnly="1" outline="0" fieldPosition="0">
        <references count="1">
          <reference field="5" count="1" defaultSubtotal="1">
            <x v="2"/>
          </reference>
        </references>
      </pivotArea>
    </format>
    <format dxfId="1621">
      <pivotArea dataOnly="0" labelOnly="1" outline="0" fieldPosition="0">
        <references count="1">
          <reference field="5" count="1" defaultSubtotal="1">
            <x v="3"/>
          </reference>
        </references>
      </pivotArea>
    </format>
    <format dxfId="1620">
      <pivotArea dataOnly="0" labelOnly="1" outline="0" fieldPosition="0">
        <references count="1">
          <reference field="5" count="1" defaultSubtotal="1">
            <x v="4"/>
          </reference>
        </references>
      </pivotArea>
    </format>
    <format dxfId="1619">
      <pivotArea dataOnly="0" labelOnly="1" outline="0" fieldPosition="0">
        <references count="1">
          <reference field="5" count="1" defaultSubtotal="1">
            <x v="5"/>
          </reference>
        </references>
      </pivotArea>
    </format>
    <format dxfId="1618">
      <pivotArea dataOnly="0" labelOnly="1" outline="0" fieldPosition="0">
        <references count="1">
          <reference field="5" count="1" defaultSubtotal="1">
            <x v="6"/>
          </reference>
        </references>
      </pivotArea>
    </format>
    <format dxfId="1617">
      <pivotArea dataOnly="0" labelOnly="1" outline="0" fieldPosition="0">
        <references count="1">
          <reference field="5" count="1" defaultSubtotal="1">
            <x v="7"/>
          </reference>
        </references>
      </pivotArea>
    </format>
    <format dxfId="1616">
      <pivotArea dataOnly="0" labelOnly="1" outline="0" fieldPosition="0">
        <references count="1">
          <reference field="5" count="1" defaultSubtotal="1">
            <x v="8"/>
          </reference>
        </references>
      </pivotArea>
    </format>
    <format dxfId="1615">
      <pivotArea dataOnly="0" labelOnly="1" outline="0" fieldPosition="0">
        <references count="1">
          <reference field="5" count="1" defaultSubtotal="1">
            <x v="9"/>
          </reference>
        </references>
      </pivotArea>
    </format>
    <format dxfId="1614">
      <pivotArea dataOnly="0" labelOnly="1" outline="0" fieldPosition="0">
        <references count="1">
          <reference field="5" count="1" defaultSubtotal="1">
            <x v="10"/>
          </reference>
        </references>
      </pivotArea>
    </format>
    <format dxfId="1613">
      <pivotArea dataOnly="0" labelOnly="1" outline="0" fieldPosition="0">
        <references count="1">
          <reference field="5" count="1" defaultSubtotal="1">
            <x v="11"/>
          </reference>
        </references>
      </pivotArea>
    </format>
    <format dxfId="1612">
      <pivotArea dataOnly="0" labelOnly="1" grandRow="1" outline="0" fieldPosition="0"/>
    </format>
    <format dxfId="1611">
      <pivotArea dataOnly="0" labelOnly="1" outline="0" fieldPosition="0">
        <references count="1">
          <reference field="12" count="0"/>
        </references>
      </pivotArea>
    </format>
    <format dxfId="1610">
      <pivotArea dataOnly="0" labelOnly="1" outline="0" fieldPosition="0">
        <references count="1">
          <reference field="12" count="0"/>
        </references>
      </pivotArea>
    </format>
    <format dxfId="1609">
      <pivotArea field="28" type="button" dataOnly="0" labelOnly="1" outline="0"/>
    </format>
    <format dxfId="1608">
      <pivotArea dataOnly="0" labelOnly="1" outline="0" fieldPosition="0">
        <references count="1">
          <reference field="5" count="1" defaultSubtotal="1">
            <x v="0"/>
          </reference>
        </references>
      </pivotArea>
    </format>
    <format dxfId="1607">
      <pivotArea dataOnly="0" labelOnly="1" outline="0" fieldPosition="0">
        <references count="1">
          <reference field="5" count="1" defaultSubtotal="1">
            <x v="1"/>
          </reference>
        </references>
      </pivotArea>
    </format>
    <format dxfId="1606">
      <pivotArea dataOnly="0" labelOnly="1" outline="0" fieldPosition="0">
        <references count="1">
          <reference field="5" count="1" defaultSubtotal="1">
            <x v="2"/>
          </reference>
        </references>
      </pivotArea>
    </format>
    <format dxfId="1605">
      <pivotArea dataOnly="0" labelOnly="1" outline="0" fieldPosition="0">
        <references count="1">
          <reference field="5" count="1" defaultSubtotal="1">
            <x v="3"/>
          </reference>
        </references>
      </pivotArea>
    </format>
    <format dxfId="1604">
      <pivotArea dataOnly="0" labelOnly="1" outline="0" fieldPosition="0">
        <references count="1">
          <reference field="5" count="1" defaultSubtotal="1">
            <x v="4"/>
          </reference>
        </references>
      </pivotArea>
    </format>
    <format dxfId="1603">
      <pivotArea dataOnly="0" labelOnly="1" outline="0" fieldPosition="0">
        <references count="1">
          <reference field="5" count="1" defaultSubtotal="1">
            <x v="5"/>
          </reference>
        </references>
      </pivotArea>
    </format>
    <format dxfId="1602">
      <pivotArea dataOnly="0" labelOnly="1" outline="0" fieldPosition="0">
        <references count="1">
          <reference field="5" count="1" defaultSubtotal="1">
            <x v="6"/>
          </reference>
        </references>
      </pivotArea>
    </format>
    <format dxfId="1601">
      <pivotArea dataOnly="0" labelOnly="1" outline="0" fieldPosition="0">
        <references count="1">
          <reference field="5" count="1" defaultSubtotal="1">
            <x v="7"/>
          </reference>
        </references>
      </pivotArea>
    </format>
    <format dxfId="1600">
      <pivotArea dataOnly="0" labelOnly="1" outline="0" fieldPosition="0">
        <references count="1">
          <reference field="5" count="1" defaultSubtotal="1">
            <x v="8"/>
          </reference>
        </references>
      </pivotArea>
    </format>
    <format dxfId="1599">
      <pivotArea dataOnly="0" labelOnly="1" outline="0" fieldPosition="0">
        <references count="1">
          <reference field="5" count="1" defaultSubtotal="1">
            <x v="9"/>
          </reference>
        </references>
      </pivotArea>
    </format>
    <format dxfId="1598">
      <pivotArea dataOnly="0" labelOnly="1" outline="0" fieldPosition="0">
        <references count="1">
          <reference field="5" count="1" defaultSubtotal="1">
            <x v="10"/>
          </reference>
        </references>
      </pivotArea>
    </format>
    <format dxfId="1597">
      <pivotArea dataOnly="0" labelOnly="1" outline="0" fieldPosition="0">
        <references count="1">
          <reference field="5" count="1" defaultSubtotal="1">
            <x v="11"/>
          </reference>
        </references>
      </pivotArea>
    </format>
    <format dxfId="1596">
      <pivotArea dataOnly="0" labelOnly="1" grandRow="1" outline="0" fieldPosition="0"/>
    </format>
    <format dxfId="1595">
      <pivotArea field="12" type="button" dataOnly="0" labelOnly="1" outline="0" axis="axisRow" fieldPosition="5"/>
    </format>
    <format dxfId="1594">
      <pivotArea field="11" type="button" dataOnly="0" labelOnly="1" outline="0" axis="axisRow" fieldPosition="6"/>
    </format>
    <format dxfId="1593">
      <pivotArea field="13" type="button" dataOnly="0" labelOnly="1" outline="0" axis="axisRow" fieldPosition="7"/>
    </format>
    <format dxfId="1592">
      <pivotArea field="28" type="button" dataOnly="0" labelOnly="1" outline="0"/>
    </format>
    <format dxfId="1591">
      <pivotArea dataOnly="0" labelOnly="1" outline="0" fieldPosition="0">
        <references count="6">
          <reference field="0" count="1" selected="0">
            <x v="9"/>
          </reference>
          <reference field="4" count="1" selected="0">
            <x v="2"/>
          </reference>
          <reference field="5" count="1" selected="0">
            <x v="0"/>
          </reference>
          <reference field="8" count="1" selected="0">
            <x v="6"/>
          </reference>
          <reference field="10" count="1" selected="0">
            <x v="0"/>
          </reference>
          <reference field="12" count="1">
            <x v="16"/>
          </reference>
        </references>
      </pivotArea>
    </format>
    <format dxfId="1590">
      <pivotArea dataOnly="0" labelOnly="1" outline="0" fieldPosition="0">
        <references count="6">
          <reference field="0" count="1" selected="0">
            <x v="10"/>
          </reference>
          <reference field="4" count="1" selected="0">
            <x v="2"/>
          </reference>
          <reference field="5" count="1" selected="0">
            <x v="0"/>
          </reference>
          <reference field="8" count="1" selected="0">
            <x v="6"/>
          </reference>
          <reference field="10" count="1" selected="0">
            <x v="0"/>
          </reference>
          <reference field="12" count="1">
            <x v="14"/>
          </reference>
        </references>
      </pivotArea>
    </format>
    <format dxfId="1589">
      <pivotArea dataOnly="0" labelOnly="1" outline="0" fieldPosition="0">
        <references count="6">
          <reference field="0" count="1" selected="0">
            <x v="11"/>
          </reference>
          <reference field="4" count="1" selected="0">
            <x v="2"/>
          </reference>
          <reference field="5" count="1" selected="0">
            <x v="0"/>
          </reference>
          <reference field="8" count="1" selected="0">
            <x v="3"/>
          </reference>
          <reference field="10" count="1" selected="0">
            <x v="0"/>
          </reference>
          <reference field="12" count="1">
            <x v="11"/>
          </reference>
        </references>
      </pivotArea>
    </format>
    <format dxfId="1588">
      <pivotArea dataOnly="0" labelOnly="1" outline="0" fieldPosition="0">
        <references count="6">
          <reference field="0" count="1" selected="0">
            <x v="12"/>
          </reference>
          <reference field="4" count="1" selected="0">
            <x v="2"/>
          </reference>
          <reference field="5" count="1" selected="0">
            <x v="0"/>
          </reference>
          <reference field="8" count="1" selected="0">
            <x v="7"/>
          </reference>
          <reference field="10" count="1" selected="0">
            <x v="0"/>
          </reference>
          <reference field="12" count="2">
            <x v="5"/>
            <x v="8"/>
          </reference>
        </references>
      </pivotArea>
    </format>
    <format dxfId="1587">
      <pivotArea dataOnly="0" labelOnly="1" outline="0" fieldPosition="0">
        <references count="6">
          <reference field="0" count="1" selected="0">
            <x v="13"/>
          </reference>
          <reference field="4" count="1" selected="0">
            <x v="2"/>
          </reference>
          <reference field="5" count="1" selected="0">
            <x v="0"/>
          </reference>
          <reference field="8" count="1" selected="0">
            <x v="7"/>
          </reference>
          <reference field="10" count="1" selected="0">
            <x v="0"/>
          </reference>
          <reference field="12" count="2">
            <x v="15"/>
            <x v="18"/>
          </reference>
        </references>
      </pivotArea>
    </format>
    <format dxfId="1586">
      <pivotArea dataOnly="0" labelOnly="1" outline="0" fieldPosition="0">
        <references count="6">
          <reference field="0" count="1" selected="0">
            <x v="14"/>
          </reference>
          <reference field="4" count="1" selected="0">
            <x v="2"/>
          </reference>
          <reference field="5" count="1" selected="0">
            <x v="0"/>
          </reference>
          <reference field="8" count="1" selected="0">
            <x v="5"/>
          </reference>
          <reference field="10" count="1" selected="0">
            <x v="2"/>
          </reference>
          <reference field="12" count="1">
            <x v="34"/>
          </reference>
        </references>
      </pivotArea>
    </format>
    <format dxfId="1585">
      <pivotArea dataOnly="0" labelOnly="1" outline="0" fieldPosition="0">
        <references count="6">
          <reference field="0" count="1" selected="0">
            <x v="15"/>
          </reference>
          <reference field="4" count="1" selected="0">
            <x v="2"/>
          </reference>
          <reference field="5" count="1" selected="0">
            <x v="1"/>
          </reference>
          <reference field="8" count="1" selected="0">
            <x v="1"/>
          </reference>
          <reference field="10" count="1" selected="0">
            <x v="0"/>
          </reference>
          <reference field="12" count="1">
            <x v="33"/>
          </reference>
        </references>
      </pivotArea>
    </format>
    <format dxfId="1584">
      <pivotArea dataOnly="0" labelOnly="1" outline="0" fieldPosition="0">
        <references count="6">
          <reference field="0" count="1" selected="0">
            <x v="21"/>
          </reference>
          <reference field="4" count="1" selected="0">
            <x v="2"/>
          </reference>
          <reference field="5" count="1" selected="0">
            <x v="2"/>
          </reference>
          <reference field="8" count="1" selected="0">
            <x v="6"/>
          </reference>
          <reference field="10" count="1" selected="0">
            <x v="0"/>
          </reference>
          <reference field="12" count="1">
            <x v="13"/>
          </reference>
        </references>
      </pivotArea>
    </format>
    <format dxfId="1583">
      <pivotArea dataOnly="0" labelOnly="1" outline="0" fieldPosition="0">
        <references count="6">
          <reference field="0" count="1" selected="0">
            <x v="22"/>
          </reference>
          <reference field="4" count="1" selected="0">
            <x v="2"/>
          </reference>
          <reference field="5" count="1" selected="0">
            <x v="2"/>
          </reference>
          <reference field="8" count="1" selected="0">
            <x v="6"/>
          </reference>
          <reference field="10" count="1" selected="0">
            <x v="0"/>
          </reference>
          <reference field="12" count="1">
            <x v="17"/>
          </reference>
        </references>
      </pivotArea>
    </format>
    <format dxfId="1582">
      <pivotArea dataOnly="0" labelOnly="1" outline="0" fieldPosition="0">
        <references count="6">
          <reference field="0" count="1" selected="0">
            <x v="23"/>
          </reference>
          <reference field="4" count="1" selected="0">
            <x v="2"/>
          </reference>
          <reference field="5" count="1" selected="0">
            <x v="2"/>
          </reference>
          <reference field="8" count="1" selected="0">
            <x v="3"/>
          </reference>
          <reference field="10" count="1" selected="0">
            <x v="0"/>
          </reference>
          <reference field="12" count="1">
            <x v="19"/>
          </reference>
        </references>
      </pivotArea>
    </format>
    <format dxfId="1581">
      <pivotArea dataOnly="0" labelOnly="1" outline="0" fieldPosition="0">
        <references count="6">
          <reference field="0" count="1" selected="0">
            <x v="24"/>
          </reference>
          <reference field="4" count="1" selected="0">
            <x v="2"/>
          </reference>
          <reference field="5" count="1" selected="0">
            <x v="2"/>
          </reference>
          <reference field="8" count="1" selected="0">
            <x v="7"/>
          </reference>
          <reference field="10" count="1" selected="0">
            <x v="0"/>
          </reference>
          <reference field="12" count="2">
            <x v="0"/>
            <x v="1"/>
          </reference>
        </references>
      </pivotArea>
    </format>
    <format dxfId="1580">
      <pivotArea dataOnly="0" labelOnly="1" outline="0" fieldPosition="0">
        <references count="6">
          <reference field="0" count="1" selected="0">
            <x v="25"/>
          </reference>
          <reference field="4" count="1" selected="0">
            <x v="2"/>
          </reference>
          <reference field="5" count="1" selected="0">
            <x v="2"/>
          </reference>
          <reference field="8" count="1" selected="0">
            <x v="7"/>
          </reference>
          <reference field="10" count="1" selected="0">
            <x v="0"/>
          </reference>
          <reference field="12" count="2">
            <x v="15"/>
            <x v="18"/>
          </reference>
        </references>
      </pivotArea>
    </format>
    <format dxfId="1579">
      <pivotArea dataOnly="0" labelOnly="1" outline="0" fieldPosition="0">
        <references count="6">
          <reference field="0" count="1" selected="0">
            <x v="26"/>
          </reference>
          <reference field="4" count="1" selected="0">
            <x v="2"/>
          </reference>
          <reference field="5" count="1" selected="0">
            <x v="2"/>
          </reference>
          <reference field="8" count="1" selected="0">
            <x v="5"/>
          </reference>
          <reference field="10" count="1" selected="0">
            <x v="2"/>
          </reference>
          <reference field="12" count="1">
            <x v="34"/>
          </reference>
        </references>
      </pivotArea>
    </format>
    <format dxfId="1578">
      <pivotArea dataOnly="0" labelOnly="1" outline="0" fieldPosition="0">
        <references count="6">
          <reference field="0" count="1" selected="0">
            <x v="27"/>
          </reference>
          <reference field="4" count="1" selected="0">
            <x v="2"/>
          </reference>
          <reference field="5" count="1" selected="0">
            <x v="3"/>
          </reference>
          <reference field="8" count="1" selected="0">
            <x v="7"/>
          </reference>
          <reference field="10" count="1" selected="0">
            <x v="0"/>
          </reference>
          <reference field="12" count="1">
            <x v="6"/>
          </reference>
        </references>
      </pivotArea>
    </format>
    <format dxfId="1577">
      <pivotArea dataOnly="0" labelOnly="1" outline="0" fieldPosition="0">
        <references count="6">
          <reference field="0" count="1" selected="0">
            <x v="28"/>
          </reference>
          <reference field="4" count="1" selected="0">
            <x v="2"/>
          </reference>
          <reference field="5" count="1" selected="0">
            <x v="3"/>
          </reference>
          <reference field="8" count="1" selected="0">
            <x v="7"/>
          </reference>
          <reference field="10" count="1" selected="0">
            <x v="0"/>
          </reference>
          <reference field="12" count="1">
            <x v="7"/>
          </reference>
        </references>
      </pivotArea>
    </format>
    <format dxfId="1576">
      <pivotArea dataOnly="0" labelOnly="1" outline="0" fieldPosition="0">
        <references count="6">
          <reference field="0" count="1" selected="0">
            <x v="29"/>
          </reference>
          <reference field="4" count="1" selected="0">
            <x v="2"/>
          </reference>
          <reference field="5" count="1" selected="0">
            <x v="3"/>
          </reference>
          <reference field="8" count="1" selected="0">
            <x v="3"/>
          </reference>
          <reference field="10" count="1" selected="0">
            <x v="0"/>
          </reference>
          <reference field="12" count="1">
            <x v="11"/>
          </reference>
        </references>
      </pivotArea>
    </format>
    <format dxfId="1575">
      <pivotArea dataOnly="0" labelOnly="1" outline="0" fieldPosition="0">
        <references count="6">
          <reference field="0" count="1" selected="0">
            <x v="30"/>
          </reference>
          <reference field="4" count="1" selected="0">
            <x v="2"/>
          </reference>
          <reference field="5" count="1" selected="0">
            <x v="3"/>
          </reference>
          <reference field="8" count="1" selected="0">
            <x v="4"/>
          </reference>
          <reference field="10" count="1" selected="0">
            <x v="1"/>
          </reference>
          <reference field="12" count="2">
            <x v="5"/>
            <x v="8"/>
          </reference>
        </references>
      </pivotArea>
    </format>
    <format dxfId="1574">
      <pivotArea dataOnly="0" labelOnly="1" outline="0" fieldPosition="0">
        <references count="6">
          <reference field="0" count="1" selected="0">
            <x v="31"/>
          </reference>
          <reference field="4" count="1" selected="0">
            <x v="2"/>
          </reference>
          <reference field="5" count="1" selected="0">
            <x v="3"/>
          </reference>
          <reference field="8" count="1" selected="0">
            <x v="0"/>
          </reference>
          <reference field="10" count="1" selected="0">
            <x v="0"/>
          </reference>
          <reference field="12" count="1">
            <x v="9"/>
          </reference>
        </references>
      </pivotArea>
    </format>
    <format dxfId="1573">
      <pivotArea dataOnly="0" labelOnly="1" outline="0" fieldPosition="0">
        <references count="6">
          <reference field="0" count="1" selected="0">
            <x v="32"/>
          </reference>
          <reference field="4" count="1" selected="0">
            <x v="2"/>
          </reference>
          <reference field="5" count="1" selected="0">
            <x v="3"/>
          </reference>
          <reference field="8" count="1" selected="0">
            <x v="0"/>
          </reference>
          <reference field="10" count="1" selected="0">
            <x v="0"/>
          </reference>
          <reference field="12" count="1">
            <x v="10"/>
          </reference>
        </references>
      </pivotArea>
    </format>
    <format dxfId="1572">
      <pivotArea dataOnly="0" labelOnly="1" outline="0" fieldPosition="0">
        <references count="6">
          <reference field="0" count="1" selected="0">
            <x v="35"/>
          </reference>
          <reference field="4" count="1" selected="0">
            <x v="1"/>
          </reference>
          <reference field="5" count="1" selected="0">
            <x v="4"/>
          </reference>
          <reference field="8" count="1" selected="0">
            <x v="3"/>
          </reference>
          <reference field="10" count="1" selected="0">
            <x v="1"/>
          </reference>
          <reference field="12" count="1">
            <x v="4"/>
          </reference>
        </references>
      </pivotArea>
    </format>
    <format dxfId="1571">
      <pivotArea dataOnly="0" labelOnly="1" outline="0" fieldPosition="0">
        <references count="6">
          <reference field="0" count="1" selected="0">
            <x v="36"/>
          </reference>
          <reference field="4" count="1" selected="0">
            <x v="1"/>
          </reference>
          <reference field="5" count="1" selected="0">
            <x v="4"/>
          </reference>
          <reference field="8" count="1" selected="0">
            <x v="3"/>
          </reference>
          <reference field="10" count="1" selected="0">
            <x v="1"/>
          </reference>
          <reference field="12" count="1">
            <x v="3"/>
          </reference>
        </references>
      </pivotArea>
    </format>
    <format dxfId="1570">
      <pivotArea dataOnly="0" labelOnly="1" outline="0" fieldPosition="0">
        <references count="6">
          <reference field="0" count="1" selected="0">
            <x v="37"/>
          </reference>
          <reference field="4" count="1" selected="0">
            <x v="1"/>
          </reference>
          <reference field="5" count="1" selected="0">
            <x v="4"/>
          </reference>
          <reference field="8" count="1" selected="0">
            <x v="5"/>
          </reference>
          <reference field="10" count="1" selected="0">
            <x v="2"/>
          </reference>
          <reference field="12" count="1">
            <x v="34"/>
          </reference>
        </references>
      </pivotArea>
    </format>
    <format dxfId="1569">
      <pivotArea dataOnly="0" labelOnly="1" outline="0" fieldPosition="0">
        <references count="6">
          <reference field="0" count="1" selected="0">
            <x v="38"/>
          </reference>
          <reference field="4" count="1" selected="0">
            <x v="1"/>
          </reference>
          <reference field="5" count="1" selected="0">
            <x v="4"/>
          </reference>
          <reference field="8" count="1" selected="0">
            <x v="4"/>
          </reference>
          <reference field="10" count="1" selected="0">
            <x v="1"/>
          </reference>
          <reference field="12" count="3">
            <x v="0"/>
            <x v="1"/>
            <x v="2"/>
          </reference>
        </references>
      </pivotArea>
    </format>
    <format dxfId="1568">
      <pivotArea dataOnly="0" labelOnly="1" outline="0" fieldPosition="0">
        <references count="6">
          <reference field="0" count="1" selected="0">
            <x v="39"/>
          </reference>
          <reference field="4" count="1" selected="0">
            <x v="1"/>
          </reference>
          <reference field="5" count="1" selected="0">
            <x v="5"/>
          </reference>
          <reference field="8" count="1" selected="0">
            <x v="6"/>
          </reference>
          <reference field="10" count="1" selected="0">
            <x v="0"/>
          </reference>
          <reference field="12" count="1">
            <x v="22"/>
          </reference>
        </references>
      </pivotArea>
    </format>
    <format dxfId="1567">
      <pivotArea dataOnly="0" labelOnly="1" outline="0" fieldPosition="0">
        <references count="6">
          <reference field="0" count="1" selected="0">
            <x v="40"/>
          </reference>
          <reference field="4" count="1" selected="0">
            <x v="1"/>
          </reference>
          <reference field="5" count="1" selected="0">
            <x v="5"/>
          </reference>
          <reference field="8" count="1" selected="0">
            <x v="3"/>
          </reference>
          <reference field="10" count="1" selected="0">
            <x v="0"/>
          </reference>
          <reference field="12" count="1">
            <x v="12"/>
          </reference>
        </references>
      </pivotArea>
    </format>
    <format dxfId="1566">
      <pivotArea dataOnly="0" labelOnly="1" outline="0" fieldPosition="0">
        <references count="6">
          <reference field="0" count="1" selected="0">
            <x v="43"/>
          </reference>
          <reference field="4" count="1" selected="0">
            <x v="1"/>
          </reference>
          <reference field="5" count="1" selected="0">
            <x v="5"/>
          </reference>
          <reference field="8" count="1" selected="0">
            <x v="3"/>
          </reference>
          <reference field="10" count="1" selected="0">
            <x v="0"/>
          </reference>
          <reference field="12" count="1">
            <x v="21"/>
          </reference>
        </references>
      </pivotArea>
    </format>
    <format dxfId="1565">
      <pivotArea dataOnly="0" labelOnly="1" outline="0" fieldPosition="0">
        <references count="6">
          <reference field="0" count="1" selected="0">
            <x v="44"/>
          </reference>
          <reference field="4" count="1" selected="0">
            <x v="1"/>
          </reference>
          <reference field="5" count="1" selected="0">
            <x v="5"/>
          </reference>
          <reference field="8" count="1" selected="0">
            <x v="3"/>
          </reference>
          <reference field="10" count="1" selected="0">
            <x v="0"/>
          </reference>
          <reference field="12" count="2">
            <x v="13"/>
            <x v="16"/>
          </reference>
        </references>
      </pivotArea>
    </format>
    <format dxfId="1564">
      <pivotArea dataOnly="0" labelOnly="1" outline="0" fieldPosition="0">
        <references count="6">
          <reference field="0" count="1" selected="0">
            <x v="49"/>
          </reference>
          <reference field="4" count="1" selected="0">
            <x v="1"/>
          </reference>
          <reference field="5" count="1" selected="0">
            <x v="5"/>
          </reference>
          <reference field="8" count="1" selected="0">
            <x v="7"/>
          </reference>
          <reference field="10" count="1" selected="0">
            <x v="0"/>
          </reference>
          <reference field="12" count="1">
            <x v="15"/>
          </reference>
        </references>
      </pivotArea>
    </format>
    <format dxfId="1563">
      <pivotArea dataOnly="0" labelOnly="1" outline="0" fieldPosition="0">
        <references count="6">
          <reference field="0" count="1" selected="0">
            <x v="50"/>
          </reference>
          <reference field="4" count="1" selected="0">
            <x v="1"/>
          </reference>
          <reference field="5" count="1" selected="0">
            <x v="5"/>
          </reference>
          <reference field="8" count="1" selected="0">
            <x v="6"/>
          </reference>
          <reference field="10" count="1" selected="0">
            <x v="0"/>
          </reference>
          <reference field="12" count="1">
            <x v="20"/>
          </reference>
        </references>
      </pivotArea>
    </format>
    <format dxfId="1562">
      <pivotArea dataOnly="0" labelOnly="1" outline="0" fieldPosition="0">
        <references count="6">
          <reference field="0" count="1" selected="0">
            <x v="52"/>
          </reference>
          <reference field="4" count="1" selected="0">
            <x v="1"/>
          </reference>
          <reference field="5" count="1" selected="0">
            <x v="6"/>
          </reference>
          <reference field="8" count="1" selected="0">
            <x v="3"/>
          </reference>
          <reference field="10" count="1" selected="0">
            <x v="0"/>
          </reference>
          <reference field="12" count="1">
            <x v="21"/>
          </reference>
        </references>
      </pivotArea>
    </format>
    <format dxfId="1561">
      <pivotArea dataOnly="0" labelOnly="1" outline="0" fieldPosition="0">
        <references count="6">
          <reference field="0" count="1" selected="0">
            <x v="53"/>
          </reference>
          <reference field="4" count="1" selected="0">
            <x v="1"/>
          </reference>
          <reference field="5" count="1" selected="0">
            <x v="6"/>
          </reference>
          <reference field="8" count="1" selected="0">
            <x v="6"/>
          </reference>
          <reference field="10" count="1" selected="0">
            <x v="0"/>
          </reference>
          <reference field="12" count="1">
            <x v="15"/>
          </reference>
        </references>
      </pivotArea>
    </format>
    <format dxfId="1560">
      <pivotArea dataOnly="0" labelOnly="1" outline="0" fieldPosition="0">
        <references count="6">
          <reference field="0" count="1" selected="0">
            <x v="58"/>
          </reference>
          <reference field="4" count="1" selected="0">
            <x v="1"/>
          </reference>
          <reference field="5" count="1" selected="0">
            <x v="6"/>
          </reference>
          <reference field="8" count="1" selected="0">
            <x v="3"/>
          </reference>
          <reference field="10" count="1" selected="0">
            <x v="0"/>
          </reference>
          <reference field="12" count="1">
            <x v="24"/>
          </reference>
        </references>
      </pivotArea>
    </format>
    <format dxfId="1559">
      <pivotArea dataOnly="0" labelOnly="1" outline="0" fieldPosition="0">
        <references count="6">
          <reference field="0" count="1" selected="0">
            <x v="64"/>
          </reference>
          <reference field="4" count="1" selected="0">
            <x v="1"/>
          </reference>
          <reference field="5" count="1" selected="0">
            <x v="6"/>
          </reference>
          <reference field="8" count="1" selected="0">
            <x v="6"/>
          </reference>
          <reference field="10" count="1" selected="0">
            <x v="0"/>
          </reference>
          <reference field="12" count="1">
            <x v="35"/>
          </reference>
        </references>
      </pivotArea>
    </format>
    <format dxfId="1558">
      <pivotArea dataOnly="0" labelOnly="1" outline="0" fieldPosition="0">
        <references count="6">
          <reference field="0" count="1" selected="0">
            <x v="65"/>
          </reference>
          <reference field="4" count="1" selected="0">
            <x v="1"/>
          </reference>
          <reference field="5" count="1" selected="0">
            <x v="6"/>
          </reference>
          <reference field="8" count="1" selected="0">
            <x v="7"/>
          </reference>
          <reference field="10" count="1" selected="0">
            <x v="0"/>
          </reference>
          <reference field="12" count="2">
            <x v="0"/>
            <x v="1"/>
          </reference>
        </references>
      </pivotArea>
    </format>
    <format dxfId="1557">
      <pivotArea dataOnly="0" labelOnly="1" outline="0" fieldPosition="0">
        <references count="6">
          <reference field="0" count="1" selected="0">
            <x v="67"/>
          </reference>
          <reference field="4" count="1" selected="0">
            <x v="0"/>
          </reference>
          <reference field="5" count="1" selected="0">
            <x v="7"/>
          </reference>
          <reference field="8" count="1" selected="0">
            <x v="2"/>
          </reference>
          <reference field="10" count="1" selected="0">
            <x v="0"/>
          </reference>
          <reference field="12" count="1">
            <x v="25"/>
          </reference>
        </references>
      </pivotArea>
    </format>
    <format dxfId="1556">
      <pivotArea dataOnly="0" labelOnly="1" outline="0" fieldPosition="0">
        <references count="6">
          <reference field="0" count="1" selected="0">
            <x v="68"/>
          </reference>
          <reference field="4" count="1" selected="0">
            <x v="0"/>
          </reference>
          <reference field="5" count="1" selected="0">
            <x v="7"/>
          </reference>
          <reference field="8" count="1" selected="0">
            <x v="2"/>
          </reference>
          <reference field="10" count="1" selected="0">
            <x v="0"/>
          </reference>
          <reference field="12" count="1">
            <x v="26"/>
          </reference>
        </references>
      </pivotArea>
    </format>
    <format dxfId="1555">
      <pivotArea dataOnly="0" labelOnly="1" outline="0" fieldPosition="0">
        <references count="6">
          <reference field="0" count="1" selected="0">
            <x v="69"/>
          </reference>
          <reference field="4" count="1" selected="0">
            <x v="0"/>
          </reference>
          <reference field="5" count="1" selected="0">
            <x v="7"/>
          </reference>
          <reference field="8" count="1" selected="0">
            <x v="2"/>
          </reference>
          <reference field="10" count="1" selected="0">
            <x v="0"/>
          </reference>
          <reference field="12" count="1">
            <x v="25"/>
          </reference>
        </references>
      </pivotArea>
    </format>
    <format dxfId="1554">
      <pivotArea dataOnly="0" labelOnly="1" outline="0" fieldPosition="0">
        <references count="6">
          <reference field="0" count="1" selected="0">
            <x v="70"/>
          </reference>
          <reference field="4" count="1" selected="0">
            <x v="0"/>
          </reference>
          <reference field="5" count="1" selected="0">
            <x v="8"/>
          </reference>
          <reference field="8" count="1" selected="0">
            <x v="2"/>
          </reference>
          <reference field="10" count="1" selected="0">
            <x v="0"/>
          </reference>
          <reference field="12" count="1">
            <x v="8"/>
          </reference>
        </references>
      </pivotArea>
    </format>
    <format dxfId="1553">
      <pivotArea dataOnly="0" labelOnly="1" outline="0" fieldPosition="0">
        <references count="6">
          <reference field="0" count="1" selected="0">
            <x v="71"/>
          </reference>
          <reference field="4" count="1" selected="0">
            <x v="0"/>
          </reference>
          <reference field="5" count="1" selected="0">
            <x v="8"/>
          </reference>
          <reference field="8" count="1" selected="0">
            <x v="2"/>
          </reference>
          <reference field="10" count="1" selected="0">
            <x v="0"/>
          </reference>
          <reference field="12" count="1">
            <x v="20"/>
          </reference>
        </references>
      </pivotArea>
    </format>
    <format dxfId="1552">
      <pivotArea dataOnly="0" labelOnly="1" outline="0" fieldPosition="0">
        <references count="6">
          <reference field="0" count="1" selected="0">
            <x v="72"/>
          </reference>
          <reference field="4" count="1" selected="0">
            <x v="0"/>
          </reference>
          <reference field="5" count="1" selected="0">
            <x v="8"/>
          </reference>
          <reference field="8" count="1" selected="0">
            <x v="2"/>
          </reference>
          <reference field="10" count="1" selected="0">
            <x v="0"/>
          </reference>
          <reference field="12" count="1">
            <x v="27"/>
          </reference>
        </references>
      </pivotArea>
    </format>
    <format dxfId="1551">
      <pivotArea dataOnly="0" labelOnly="1" outline="0" fieldPosition="0">
        <references count="6">
          <reference field="0" count="1" selected="0">
            <x v="0"/>
          </reference>
          <reference field="4" count="1" selected="0">
            <x v="0"/>
          </reference>
          <reference field="5" count="1" selected="0">
            <x v="9"/>
          </reference>
          <reference field="8" count="1" selected="0">
            <x v="2"/>
          </reference>
          <reference field="10" count="1" selected="0">
            <x v="0"/>
          </reference>
          <reference field="12" count="1">
            <x v="28"/>
          </reference>
        </references>
      </pivotArea>
    </format>
    <format dxfId="1550">
      <pivotArea dataOnly="0" labelOnly="1" outline="0" fieldPosition="0">
        <references count="6">
          <reference field="0" count="1" selected="0">
            <x v="1"/>
          </reference>
          <reference field="4" count="1" selected="0">
            <x v="0"/>
          </reference>
          <reference field="5" count="1" selected="0">
            <x v="9"/>
          </reference>
          <reference field="8" count="1" selected="0">
            <x v="2"/>
          </reference>
          <reference field="10" count="1" selected="0">
            <x v="0"/>
          </reference>
          <reference field="12" count="1">
            <x v="31"/>
          </reference>
        </references>
      </pivotArea>
    </format>
    <format dxfId="1549">
      <pivotArea dataOnly="0" labelOnly="1" outline="0" fieldPosition="0">
        <references count="6">
          <reference field="0" count="1" selected="0">
            <x v="2"/>
          </reference>
          <reference field="4" count="1" selected="0">
            <x v="0"/>
          </reference>
          <reference field="5" count="1" selected="0">
            <x v="9"/>
          </reference>
          <reference field="8" count="1" selected="0">
            <x v="2"/>
          </reference>
          <reference field="10" count="1" selected="0">
            <x v="0"/>
          </reference>
          <reference field="12" count="1">
            <x v="28"/>
          </reference>
        </references>
      </pivotArea>
    </format>
    <format dxfId="1548">
      <pivotArea dataOnly="0" labelOnly="1" outline="0" fieldPosition="0">
        <references count="6">
          <reference field="0" count="1" selected="0">
            <x v="3"/>
          </reference>
          <reference field="4" count="1" selected="0">
            <x v="0"/>
          </reference>
          <reference field="5" count="1" selected="0">
            <x v="10"/>
          </reference>
          <reference field="8" count="1" selected="0">
            <x v="2"/>
          </reference>
          <reference field="10" count="1" selected="0">
            <x v="0"/>
          </reference>
          <reference field="12" count="1">
            <x v="29"/>
          </reference>
        </references>
      </pivotArea>
    </format>
    <format dxfId="1547">
      <pivotArea dataOnly="0" labelOnly="1" outline="0" fieldPosition="0">
        <references count="6">
          <reference field="0" count="1" selected="0">
            <x v="4"/>
          </reference>
          <reference field="4" count="1" selected="0">
            <x v="0"/>
          </reference>
          <reference field="5" count="1" selected="0">
            <x v="10"/>
          </reference>
          <reference field="8" count="1" selected="0">
            <x v="2"/>
          </reference>
          <reference field="10" count="1" selected="0">
            <x v="0"/>
          </reference>
          <reference field="12" count="1">
            <x v="32"/>
          </reference>
        </references>
      </pivotArea>
    </format>
    <format dxfId="1546">
      <pivotArea dataOnly="0" labelOnly="1" outline="0" fieldPosition="0">
        <references count="6">
          <reference field="0" count="1" selected="0">
            <x v="5"/>
          </reference>
          <reference field="4" count="1" selected="0">
            <x v="0"/>
          </reference>
          <reference field="5" count="1" selected="0">
            <x v="10"/>
          </reference>
          <reference field="8" count="1" selected="0">
            <x v="2"/>
          </reference>
          <reference field="10" count="1" selected="0">
            <x v="0"/>
          </reference>
          <reference field="12" count="1">
            <x v="29"/>
          </reference>
        </references>
      </pivotArea>
    </format>
    <format dxfId="1545">
      <pivotArea dataOnly="0" labelOnly="1" outline="0" fieldPosition="0">
        <references count="6">
          <reference field="0" count="1" selected="0">
            <x v="6"/>
          </reference>
          <reference field="4" count="1" selected="0">
            <x v="0"/>
          </reference>
          <reference field="5" count="1" selected="0">
            <x v="11"/>
          </reference>
          <reference field="8" count="1" selected="0">
            <x v="2"/>
          </reference>
          <reference field="10" count="1" selected="0">
            <x v="0"/>
          </reference>
          <reference field="12" count="1">
            <x v="30"/>
          </reference>
        </references>
      </pivotArea>
    </format>
    <format dxfId="1544">
      <pivotArea dataOnly="0" labelOnly="1" outline="0" fieldPosition="0">
        <references count="6">
          <reference field="0" count="1" selected="0">
            <x v="7"/>
          </reference>
          <reference field="4" count="1" selected="0">
            <x v="0"/>
          </reference>
          <reference field="5" count="1" selected="0">
            <x v="11"/>
          </reference>
          <reference field="8" count="1" selected="0">
            <x v="2"/>
          </reference>
          <reference field="10" count="1" selected="0">
            <x v="0"/>
          </reference>
          <reference field="12" count="1">
            <x v="32"/>
          </reference>
        </references>
      </pivotArea>
    </format>
    <format dxfId="1543">
      <pivotArea dataOnly="0" labelOnly="1" outline="0" fieldPosition="0">
        <references count="6">
          <reference field="0" count="1" selected="0">
            <x v="8"/>
          </reference>
          <reference field="4" count="1" selected="0">
            <x v="0"/>
          </reference>
          <reference field="5" count="1" selected="0">
            <x v="11"/>
          </reference>
          <reference field="8" count="1" selected="0">
            <x v="2"/>
          </reference>
          <reference field="10" count="1" selected="0">
            <x v="0"/>
          </reference>
          <reference field="12" count="1">
            <x v="30"/>
          </reference>
        </references>
      </pivotArea>
    </format>
    <format dxfId="1542">
      <pivotArea dataOnly="0" labelOnly="1" outline="0" fieldPosition="0">
        <references count="7">
          <reference field="0" count="1" selected="0">
            <x v="9"/>
          </reference>
          <reference field="4" count="1" selected="0">
            <x v="2"/>
          </reference>
          <reference field="5" count="1" selected="0">
            <x v="0"/>
          </reference>
          <reference field="8" count="1" selected="0">
            <x v="6"/>
          </reference>
          <reference field="10" count="1" selected="0">
            <x v="0"/>
          </reference>
          <reference field="11" count="1">
            <x v="4"/>
          </reference>
          <reference field="12" count="1" selected="0">
            <x v="16"/>
          </reference>
        </references>
      </pivotArea>
    </format>
    <format dxfId="1541">
      <pivotArea dataOnly="0" labelOnly="1" outline="0" fieldPosition="0">
        <references count="7">
          <reference field="0" count="1" selected="0">
            <x v="12"/>
          </reference>
          <reference field="4" count="1" selected="0">
            <x v="2"/>
          </reference>
          <reference field="5" count="1" selected="0">
            <x v="0"/>
          </reference>
          <reference field="8" count="1" selected="0">
            <x v="7"/>
          </reference>
          <reference field="10" count="1" selected="0">
            <x v="0"/>
          </reference>
          <reference field="11" count="1">
            <x v="0"/>
          </reference>
          <reference field="12" count="1" selected="0">
            <x v="5"/>
          </reference>
        </references>
      </pivotArea>
    </format>
    <format dxfId="1540">
      <pivotArea dataOnly="0" labelOnly="1" outline="0" fieldPosition="0">
        <references count="7">
          <reference field="0" count="1" selected="0">
            <x v="13"/>
          </reference>
          <reference field="4" count="1" selected="0">
            <x v="2"/>
          </reference>
          <reference field="5" count="1" selected="0">
            <x v="0"/>
          </reference>
          <reference field="8" count="1" selected="0">
            <x v="7"/>
          </reference>
          <reference field="10" count="1" selected="0">
            <x v="0"/>
          </reference>
          <reference field="11" count="1">
            <x v="1"/>
          </reference>
          <reference field="12" count="1" selected="0">
            <x v="18"/>
          </reference>
        </references>
      </pivotArea>
    </format>
    <format dxfId="1539">
      <pivotArea dataOnly="0" labelOnly="1" outline="0" fieldPosition="0">
        <references count="7">
          <reference field="0" count="1" selected="0">
            <x v="14"/>
          </reference>
          <reference field="4" count="1" selected="0">
            <x v="2"/>
          </reference>
          <reference field="5" count="1" selected="0">
            <x v="0"/>
          </reference>
          <reference field="8" count="1" selected="0">
            <x v="5"/>
          </reference>
          <reference field="10" count="1" selected="0">
            <x v="2"/>
          </reference>
          <reference field="11" count="1">
            <x v="7"/>
          </reference>
          <reference field="12" count="1" selected="0">
            <x v="34"/>
          </reference>
        </references>
      </pivotArea>
    </format>
    <format dxfId="1538">
      <pivotArea dataOnly="0" labelOnly="1" outline="0" fieldPosition="0">
        <references count="7">
          <reference field="0" count="1" selected="0">
            <x v="15"/>
          </reference>
          <reference field="4" count="1" selected="0">
            <x v="2"/>
          </reference>
          <reference field="5" count="1" selected="0">
            <x v="1"/>
          </reference>
          <reference field="8" count="1" selected="0">
            <x v="1"/>
          </reference>
          <reference field="10" count="1" selected="0">
            <x v="0"/>
          </reference>
          <reference field="11" count="1">
            <x v="7"/>
          </reference>
          <reference field="12" count="1" selected="0">
            <x v="33"/>
          </reference>
        </references>
      </pivotArea>
    </format>
    <format dxfId="1537">
      <pivotArea dataOnly="0" labelOnly="1" outline="0" fieldPosition="0">
        <references count="7">
          <reference field="0" count="1" selected="0">
            <x v="21"/>
          </reference>
          <reference field="4" count="1" selected="0">
            <x v="2"/>
          </reference>
          <reference field="5" count="1" selected="0">
            <x v="2"/>
          </reference>
          <reference field="8" count="1" selected="0">
            <x v="6"/>
          </reference>
          <reference field="10" count="1" selected="0">
            <x v="0"/>
          </reference>
          <reference field="11" count="1">
            <x v="2"/>
          </reference>
          <reference field="12" count="1" selected="0">
            <x v="13"/>
          </reference>
        </references>
      </pivotArea>
    </format>
    <format dxfId="1536">
      <pivotArea dataOnly="0" labelOnly="1" outline="0" fieldPosition="0">
        <references count="7">
          <reference field="0" count="1" selected="0">
            <x v="22"/>
          </reference>
          <reference field="4" count="1" selected="0">
            <x v="2"/>
          </reference>
          <reference field="5" count="1" selected="0">
            <x v="2"/>
          </reference>
          <reference field="8" count="1" selected="0">
            <x v="6"/>
          </reference>
          <reference field="10" count="1" selected="0">
            <x v="0"/>
          </reference>
          <reference field="11" count="1">
            <x v="4"/>
          </reference>
          <reference field="12" count="1" selected="0">
            <x v="17"/>
          </reference>
        </references>
      </pivotArea>
    </format>
    <format dxfId="1535">
      <pivotArea dataOnly="0" labelOnly="1" outline="0" fieldPosition="0">
        <references count="7">
          <reference field="0" count="1" selected="0">
            <x v="24"/>
          </reference>
          <reference field="4" count="1" selected="0">
            <x v="2"/>
          </reference>
          <reference field="5" count="1" selected="0">
            <x v="2"/>
          </reference>
          <reference field="8" count="1" selected="0">
            <x v="7"/>
          </reference>
          <reference field="10" count="1" selected="0">
            <x v="0"/>
          </reference>
          <reference field="11" count="1">
            <x v="0"/>
          </reference>
          <reference field="12" count="1" selected="0">
            <x v="0"/>
          </reference>
        </references>
      </pivotArea>
    </format>
    <format dxfId="1534">
      <pivotArea dataOnly="0" labelOnly="1" outline="0" fieldPosition="0">
        <references count="7">
          <reference field="0" count="1" selected="0">
            <x v="25"/>
          </reference>
          <reference field="4" count="1" selected="0">
            <x v="2"/>
          </reference>
          <reference field="5" count="1" selected="0">
            <x v="2"/>
          </reference>
          <reference field="8" count="1" selected="0">
            <x v="7"/>
          </reference>
          <reference field="10" count="1" selected="0">
            <x v="0"/>
          </reference>
          <reference field="11" count="1">
            <x v="1"/>
          </reference>
          <reference field="12" count="1" selected="0">
            <x v="18"/>
          </reference>
        </references>
      </pivotArea>
    </format>
    <format dxfId="1533">
      <pivotArea dataOnly="0" labelOnly="1" outline="0" fieldPosition="0">
        <references count="7">
          <reference field="0" count="1" selected="0">
            <x v="26"/>
          </reference>
          <reference field="4" count="1" selected="0">
            <x v="2"/>
          </reference>
          <reference field="5" count="1" selected="0">
            <x v="2"/>
          </reference>
          <reference field="8" count="1" selected="0">
            <x v="5"/>
          </reference>
          <reference field="10" count="1" selected="0">
            <x v="2"/>
          </reference>
          <reference field="11" count="1">
            <x v="7"/>
          </reference>
          <reference field="12" count="1" selected="0">
            <x v="34"/>
          </reference>
        </references>
      </pivotArea>
    </format>
    <format dxfId="1532">
      <pivotArea dataOnly="0" labelOnly="1" outline="0" fieldPosition="0">
        <references count="7">
          <reference field="0" count="1" selected="0">
            <x v="27"/>
          </reference>
          <reference field="4" count="1" selected="0">
            <x v="2"/>
          </reference>
          <reference field="5" count="1" selected="0">
            <x v="3"/>
          </reference>
          <reference field="8" count="1" selected="0">
            <x v="7"/>
          </reference>
          <reference field="10" count="1" selected="0">
            <x v="0"/>
          </reference>
          <reference field="11" count="1">
            <x v="6"/>
          </reference>
          <reference field="12" count="1" selected="0">
            <x v="6"/>
          </reference>
        </references>
      </pivotArea>
    </format>
    <format dxfId="1531">
      <pivotArea dataOnly="0" labelOnly="1" outline="0" fieldPosition="0">
        <references count="7">
          <reference field="0" count="1" selected="0">
            <x v="29"/>
          </reference>
          <reference field="4" count="1" selected="0">
            <x v="2"/>
          </reference>
          <reference field="5" count="1" selected="0">
            <x v="3"/>
          </reference>
          <reference field="8" count="1" selected="0">
            <x v="3"/>
          </reference>
          <reference field="10" count="1" selected="0">
            <x v="0"/>
          </reference>
          <reference field="11" count="1">
            <x v="4"/>
          </reference>
          <reference field="12" count="1" selected="0">
            <x v="11"/>
          </reference>
        </references>
      </pivotArea>
    </format>
    <format dxfId="1530">
      <pivotArea dataOnly="0" labelOnly="1" outline="0" fieldPosition="0">
        <references count="7">
          <reference field="0" count="1" selected="0">
            <x v="30"/>
          </reference>
          <reference field="4" count="1" selected="0">
            <x v="2"/>
          </reference>
          <reference field="5" count="1" selected="0">
            <x v="3"/>
          </reference>
          <reference field="8" count="1" selected="0">
            <x v="4"/>
          </reference>
          <reference field="10" count="1" selected="0">
            <x v="1"/>
          </reference>
          <reference field="11" count="1">
            <x v="0"/>
          </reference>
          <reference field="12" count="1" selected="0">
            <x v="5"/>
          </reference>
        </references>
      </pivotArea>
    </format>
    <format dxfId="1529">
      <pivotArea dataOnly="0" labelOnly="1" outline="0" fieldPosition="0">
        <references count="7">
          <reference field="0" count="1" selected="0">
            <x v="31"/>
          </reference>
          <reference field="4" count="1" selected="0">
            <x v="2"/>
          </reference>
          <reference field="5" count="1" selected="0">
            <x v="3"/>
          </reference>
          <reference field="8" count="1" selected="0">
            <x v="0"/>
          </reference>
          <reference field="10" count="1" selected="0">
            <x v="0"/>
          </reference>
          <reference field="11" count="1">
            <x v="6"/>
          </reference>
          <reference field="12" count="1" selected="0">
            <x v="9"/>
          </reference>
        </references>
      </pivotArea>
    </format>
    <format dxfId="1528">
      <pivotArea dataOnly="0" labelOnly="1" outline="0" fieldPosition="0">
        <references count="7">
          <reference field="0" count="1" selected="0">
            <x v="35"/>
          </reference>
          <reference field="4" count="1" selected="0">
            <x v="1"/>
          </reference>
          <reference field="5" count="1" selected="0">
            <x v="4"/>
          </reference>
          <reference field="8" count="1" selected="0">
            <x v="3"/>
          </reference>
          <reference field="10" count="1" selected="0">
            <x v="1"/>
          </reference>
          <reference field="11" count="1">
            <x v="4"/>
          </reference>
          <reference field="12" count="1" selected="0">
            <x v="4"/>
          </reference>
        </references>
      </pivotArea>
    </format>
    <format dxfId="1527">
      <pivotArea dataOnly="0" labelOnly="1" outline="0" fieldPosition="0">
        <references count="7">
          <reference field="0" count="1" selected="0">
            <x v="37"/>
          </reference>
          <reference field="4" count="1" selected="0">
            <x v="1"/>
          </reference>
          <reference field="5" count="1" selected="0">
            <x v="4"/>
          </reference>
          <reference field="8" count="1" selected="0">
            <x v="5"/>
          </reference>
          <reference field="10" count="1" selected="0">
            <x v="2"/>
          </reference>
          <reference field="11" count="1">
            <x v="7"/>
          </reference>
          <reference field="12" count="1" selected="0">
            <x v="34"/>
          </reference>
        </references>
      </pivotArea>
    </format>
    <format dxfId="1526">
      <pivotArea dataOnly="0" labelOnly="1" outline="0" fieldPosition="0">
        <references count="7">
          <reference field="0" count="1" selected="0">
            <x v="38"/>
          </reference>
          <reference field="4" count="1" selected="0">
            <x v="1"/>
          </reference>
          <reference field="5" count="1" selected="0">
            <x v="4"/>
          </reference>
          <reference field="8" count="1" selected="0">
            <x v="4"/>
          </reference>
          <reference field="10" count="1" selected="0">
            <x v="1"/>
          </reference>
          <reference field="11" count="1">
            <x v="0"/>
          </reference>
          <reference field="12" count="1" selected="0">
            <x v="0"/>
          </reference>
        </references>
      </pivotArea>
    </format>
    <format dxfId="1525">
      <pivotArea dataOnly="0" labelOnly="1" outline="0" fieldPosition="0">
        <references count="7">
          <reference field="0" count="1" selected="0">
            <x v="39"/>
          </reference>
          <reference field="4" count="1" selected="0">
            <x v="1"/>
          </reference>
          <reference field="5" count="1" selected="0">
            <x v="5"/>
          </reference>
          <reference field="8" count="1" selected="0">
            <x v="6"/>
          </reference>
          <reference field="10" count="1" selected="0">
            <x v="0"/>
          </reference>
          <reference field="11" count="1">
            <x v="1"/>
          </reference>
          <reference field="12" count="1" selected="0">
            <x v="22"/>
          </reference>
        </references>
      </pivotArea>
    </format>
    <format dxfId="1524">
      <pivotArea dataOnly="0" labelOnly="1" outline="0" fieldPosition="0">
        <references count="7">
          <reference field="0" count="1" selected="0">
            <x v="40"/>
          </reference>
          <reference field="4" count="1" selected="0">
            <x v="1"/>
          </reference>
          <reference field="5" count="1" selected="0">
            <x v="5"/>
          </reference>
          <reference field="8" count="1" selected="0">
            <x v="3"/>
          </reference>
          <reference field="10" count="1" selected="0">
            <x v="0"/>
          </reference>
          <reference field="11" count="1">
            <x v="6"/>
          </reference>
          <reference field="12" count="1" selected="0">
            <x v="12"/>
          </reference>
        </references>
      </pivotArea>
    </format>
    <format dxfId="1523">
      <pivotArea dataOnly="0" labelOnly="1" outline="0" fieldPosition="0">
        <references count="7">
          <reference field="0" count="1" selected="0">
            <x v="43"/>
          </reference>
          <reference field="4" count="1" selected="0">
            <x v="1"/>
          </reference>
          <reference field="5" count="1" selected="0">
            <x v="5"/>
          </reference>
          <reference field="8" count="1" selected="0">
            <x v="3"/>
          </reference>
          <reference field="10" count="1" selected="0">
            <x v="0"/>
          </reference>
          <reference field="11" count="1">
            <x v="4"/>
          </reference>
          <reference field="12" count="1" selected="0">
            <x v="21"/>
          </reference>
        </references>
      </pivotArea>
    </format>
    <format dxfId="1522">
      <pivotArea dataOnly="0" labelOnly="1" outline="0" fieldPosition="0">
        <references count="7">
          <reference field="0" count="1" selected="0">
            <x v="44"/>
          </reference>
          <reference field="4" count="1" selected="0">
            <x v="1"/>
          </reference>
          <reference field="5" count="1" selected="0">
            <x v="5"/>
          </reference>
          <reference field="8" count="1" selected="0">
            <x v="3"/>
          </reference>
          <reference field="10" count="1" selected="0">
            <x v="0"/>
          </reference>
          <reference field="11" count="1">
            <x v="1"/>
          </reference>
          <reference field="12" count="1" selected="0">
            <x v="13"/>
          </reference>
        </references>
      </pivotArea>
    </format>
    <format dxfId="1521">
      <pivotArea dataOnly="0" labelOnly="1" outline="0" fieldPosition="0">
        <references count="7">
          <reference field="0" count="1" selected="0">
            <x v="49"/>
          </reference>
          <reference field="4" count="1" selected="0">
            <x v="1"/>
          </reference>
          <reference field="5" count="1" selected="0">
            <x v="5"/>
          </reference>
          <reference field="8" count="1" selected="0">
            <x v="7"/>
          </reference>
          <reference field="10" count="1" selected="0">
            <x v="0"/>
          </reference>
          <reference field="11" count="1">
            <x v="0"/>
          </reference>
          <reference field="12" count="1" selected="0">
            <x v="15"/>
          </reference>
        </references>
      </pivotArea>
    </format>
    <format dxfId="1520">
      <pivotArea dataOnly="0" labelOnly="1" outline="0" fieldPosition="0">
        <references count="7">
          <reference field="0" count="1" selected="0">
            <x v="50"/>
          </reference>
          <reference field="4" count="1" selected="0">
            <x v="1"/>
          </reference>
          <reference field="5" count="1" selected="0">
            <x v="5"/>
          </reference>
          <reference field="8" count="1" selected="0">
            <x v="6"/>
          </reference>
          <reference field="10" count="1" selected="0">
            <x v="0"/>
          </reference>
          <reference field="11" count="1">
            <x v="4"/>
          </reference>
          <reference field="12" count="1" selected="0">
            <x v="20"/>
          </reference>
        </references>
      </pivotArea>
    </format>
    <format dxfId="1519">
      <pivotArea dataOnly="0" labelOnly="1" outline="0" fieldPosition="0">
        <references count="7">
          <reference field="0" count="1" selected="0">
            <x v="52"/>
          </reference>
          <reference field="4" count="1" selected="0">
            <x v="1"/>
          </reference>
          <reference field="5" count="1" selected="0">
            <x v="6"/>
          </reference>
          <reference field="8" count="1" selected="0">
            <x v="3"/>
          </reference>
          <reference field="10" count="1" selected="0">
            <x v="0"/>
          </reference>
          <reference field="11" count="1">
            <x v="4"/>
          </reference>
          <reference field="12" count="1" selected="0">
            <x v="21"/>
          </reference>
        </references>
      </pivotArea>
    </format>
    <format dxfId="1518">
      <pivotArea dataOnly="0" labelOnly="1" outline="0" fieldPosition="0">
        <references count="7">
          <reference field="0" count="1" selected="0">
            <x v="53"/>
          </reference>
          <reference field="4" count="1" selected="0">
            <x v="1"/>
          </reference>
          <reference field="5" count="1" selected="0">
            <x v="6"/>
          </reference>
          <reference field="8" count="1" selected="0">
            <x v="6"/>
          </reference>
          <reference field="10" count="1" selected="0">
            <x v="0"/>
          </reference>
          <reference field="11" count="1">
            <x v="0"/>
          </reference>
          <reference field="12" count="1" selected="0">
            <x v="15"/>
          </reference>
        </references>
      </pivotArea>
    </format>
    <format dxfId="1517">
      <pivotArea dataOnly="0" labelOnly="1" outline="0" fieldPosition="0">
        <references count="7">
          <reference field="0" count="1" selected="0">
            <x v="58"/>
          </reference>
          <reference field="4" count="1" selected="0">
            <x v="1"/>
          </reference>
          <reference field="5" count="1" selected="0">
            <x v="6"/>
          </reference>
          <reference field="8" count="1" selected="0">
            <x v="3"/>
          </reference>
          <reference field="10" count="1" selected="0">
            <x v="0"/>
          </reference>
          <reference field="11" count="1">
            <x v="4"/>
          </reference>
          <reference field="12" count="1" selected="0">
            <x v="24"/>
          </reference>
        </references>
      </pivotArea>
    </format>
    <format dxfId="1516">
      <pivotArea dataOnly="0" labelOnly="1" outline="0" fieldPosition="0">
        <references count="7">
          <reference field="0" count="1" selected="0">
            <x v="64"/>
          </reference>
          <reference field="4" count="1" selected="0">
            <x v="1"/>
          </reference>
          <reference field="5" count="1" selected="0">
            <x v="6"/>
          </reference>
          <reference field="8" count="1" selected="0">
            <x v="6"/>
          </reference>
          <reference field="10" count="1" selected="0">
            <x v="0"/>
          </reference>
          <reference field="11" count="1">
            <x v="5"/>
          </reference>
          <reference field="12" count="1" selected="0">
            <x v="35"/>
          </reference>
        </references>
      </pivotArea>
    </format>
    <format dxfId="1515">
      <pivotArea dataOnly="0" labelOnly="1" outline="0" fieldPosition="0">
        <references count="7">
          <reference field="0" count="1" selected="0">
            <x v="65"/>
          </reference>
          <reference field="4" count="1" selected="0">
            <x v="1"/>
          </reference>
          <reference field="5" count="1" selected="0">
            <x v="6"/>
          </reference>
          <reference field="8" count="1" selected="0">
            <x v="7"/>
          </reference>
          <reference field="10" count="1" selected="0">
            <x v="0"/>
          </reference>
          <reference field="11" count="1">
            <x v="0"/>
          </reference>
          <reference field="12" count="1" selected="0">
            <x v="0"/>
          </reference>
        </references>
      </pivotArea>
    </format>
    <format dxfId="1514">
      <pivotArea dataOnly="0" labelOnly="1" outline="0" fieldPosition="0">
        <references count="7">
          <reference field="0" count="1" selected="0">
            <x v="67"/>
          </reference>
          <reference field="4" count="1" selected="0">
            <x v="0"/>
          </reference>
          <reference field="5" count="1" selected="0">
            <x v="7"/>
          </reference>
          <reference field="8" count="1" selected="0">
            <x v="2"/>
          </reference>
          <reference field="10" count="1" selected="0">
            <x v="0"/>
          </reference>
          <reference field="11" count="1">
            <x v="0"/>
          </reference>
          <reference field="12" count="1" selected="0">
            <x v="25"/>
          </reference>
        </references>
      </pivotArea>
    </format>
    <format dxfId="1513">
      <pivotArea dataOnly="0" labelOnly="1" outline="0" fieldPosition="0">
        <references count="7">
          <reference field="0" count="1" selected="0">
            <x v="68"/>
          </reference>
          <reference field="4" count="1" selected="0">
            <x v="0"/>
          </reference>
          <reference field="5" count="1" selected="0">
            <x v="7"/>
          </reference>
          <reference field="8" count="1" selected="0">
            <x v="2"/>
          </reference>
          <reference field="10" count="1" selected="0">
            <x v="0"/>
          </reference>
          <reference field="11" count="1">
            <x v="1"/>
          </reference>
          <reference field="12" count="1" selected="0">
            <x v="26"/>
          </reference>
        </references>
      </pivotArea>
    </format>
    <format dxfId="1512">
      <pivotArea dataOnly="0" labelOnly="1" outline="0" fieldPosition="0">
        <references count="7">
          <reference field="0" count="1" selected="0">
            <x v="69"/>
          </reference>
          <reference field="4" count="1" selected="0">
            <x v="0"/>
          </reference>
          <reference field="5" count="1" selected="0">
            <x v="7"/>
          </reference>
          <reference field="8" count="1" selected="0">
            <x v="2"/>
          </reference>
          <reference field="10" count="1" selected="0">
            <x v="0"/>
          </reference>
          <reference field="11" count="1">
            <x v="0"/>
          </reference>
          <reference field="12" count="1" selected="0">
            <x v="25"/>
          </reference>
        </references>
      </pivotArea>
    </format>
    <format dxfId="1511">
      <pivotArea dataOnly="0" labelOnly="1" outline="0" fieldPosition="0">
        <references count="7">
          <reference field="0" count="1" selected="0">
            <x v="70"/>
          </reference>
          <reference field="4" count="1" selected="0">
            <x v="0"/>
          </reference>
          <reference field="5" count="1" selected="0">
            <x v="8"/>
          </reference>
          <reference field="8" count="1" selected="0">
            <x v="2"/>
          </reference>
          <reference field="10" count="1" selected="0">
            <x v="0"/>
          </reference>
          <reference field="11" count="1">
            <x v="0"/>
          </reference>
          <reference field="12" count="1" selected="0">
            <x v="8"/>
          </reference>
        </references>
      </pivotArea>
    </format>
    <format dxfId="1510">
      <pivotArea dataOnly="0" labelOnly="1" outline="0" fieldPosition="0">
        <references count="7">
          <reference field="0" count="1" selected="0">
            <x v="71"/>
          </reference>
          <reference field="4" count="1" selected="0">
            <x v="0"/>
          </reference>
          <reference field="5" count="1" selected="0">
            <x v="8"/>
          </reference>
          <reference field="8" count="1" selected="0">
            <x v="2"/>
          </reference>
          <reference field="10" count="1" selected="0">
            <x v="0"/>
          </reference>
          <reference field="11" count="1">
            <x v="5"/>
          </reference>
          <reference field="12" count="1" selected="0">
            <x v="20"/>
          </reference>
        </references>
      </pivotArea>
    </format>
    <format dxfId="1509">
      <pivotArea dataOnly="0" labelOnly="1" outline="0" fieldPosition="0">
        <references count="7">
          <reference field="0" count="1" selected="0">
            <x v="72"/>
          </reference>
          <reference field="4" count="1" selected="0">
            <x v="0"/>
          </reference>
          <reference field="5" count="1" selected="0">
            <x v="8"/>
          </reference>
          <reference field="8" count="1" selected="0">
            <x v="2"/>
          </reference>
          <reference field="10" count="1" selected="0">
            <x v="0"/>
          </reference>
          <reference field="11" count="1">
            <x v="0"/>
          </reference>
          <reference field="12" count="1" selected="0">
            <x v="27"/>
          </reference>
        </references>
      </pivotArea>
    </format>
    <format dxfId="1508">
      <pivotArea dataOnly="0" labelOnly="1" outline="0" fieldPosition="0">
        <references count="7">
          <reference field="0" count="1" selected="0">
            <x v="0"/>
          </reference>
          <reference field="4" count="1" selected="0">
            <x v="0"/>
          </reference>
          <reference field="5" count="1" selected="0">
            <x v="9"/>
          </reference>
          <reference field="8" count="1" selected="0">
            <x v="2"/>
          </reference>
          <reference field="10" count="1" selected="0">
            <x v="0"/>
          </reference>
          <reference field="11" count="1">
            <x v="0"/>
          </reference>
          <reference field="12" count="1" selected="0">
            <x v="28"/>
          </reference>
        </references>
      </pivotArea>
    </format>
    <format dxfId="1507">
      <pivotArea dataOnly="0" labelOnly="1" outline="0" fieldPosition="0">
        <references count="7">
          <reference field="0" count="1" selected="0">
            <x v="1"/>
          </reference>
          <reference field="4" count="1" selected="0">
            <x v="0"/>
          </reference>
          <reference field="5" count="1" selected="0">
            <x v="9"/>
          </reference>
          <reference field="8" count="1" selected="0">
            <x v="2"/>
          </reference>
          <reference field="10" count="1" selected="0">
            <x v="0"/>
          </reference>
          <reference field="11" count="1">
            <x v="5"/>
          </reference>
          <reference field="12" count="1" selected="0">
            <x v="31"/>
          </reference>
        </references>
      </pivotArea>
    </format>
    <format dxfId="1506">
      <pivotArea dataOnly="0" labelOnly="1" outline="0" fieldPosition="0">
        <references count="7">
          <reference field="0" count="1" selected="0">
            <x v="2"/>
          </reference>
          <reference field="4" count="1" selected="0">
            <x v="0"/>
          </reference>
          <reference field="5" count="1" selected="0">
            <x v="9"/>
          </reference>
          <reference field="8" count="1" selected="0">
            <x v="2"/>
          </reference>
          <reference field="10" count="1" selected="0">
            <x v="0"/>
          </reference>
          <reference field="11" count="1">
            <x v="0"/>
          </reference>
          <reference field="12" count="1" selected="0">
            <x v="28"/>
          </reference>
        </references>
      </pivotArea>
    </format>
    <format dxfId="1505">
      <pivotArea dataOnly="0" labelOnly="1" outline="0" fieldPosition="0">
        <references count="7">
          <reference field="0" count="1" selected="0">
            <x v="3"/>
          </reference>
          <reference field="4" count="1" selected="0">
            <x v="0"/>
          </reference>
          <reference field="5" count="1" selected="0">
            <x v="10"/>
          </reference>
          <reference field="8" count="1" selected="0">
            <x v="2"/>
          </reference>
          <reference field="10" count="1" selected="0">
            <x v="0"/>
          </reference>
          <reference field="11" count="1">
            <x v="3"/>
          </reference>
          <reference field="12" count="1" selected="0">
            <x v="29"/>
          </reference>
        </references>
      </pivotArea>
    </format>
    <format dxfId="1504">
      <pivotArea dataOnly="0" labelOnly="1" outline="0" fieldPosition="0">
        <references count="7">
          <reference field="0" count="1" selected="0">
            <x v="4"/>
          </reference>
          <reference field="4" count="1" selected="0">
            <x v="0"/>
          </reference>
          <reference field="5" count="1" selected="0">
            <x v="10"/>
          </reference>
          <reference field="8" count="1" selected="0">
            <x v="2"/>
          </reference>
          <reference field="10" count="1" selected="0">
            <x v="0"/>
          </reference>
          <reference field="11" count="1">
            <x v="5"/>
          </reference>
          <reference field="12" count="1" selected="0">
            <x v="32"/>
          </reference>
        </references>
      </pivotArea>
    </format>
    <format dxfId="1503">
      <pivotArea dataOnly="0" labelOnly="1" outline="0" fieldPosition="0">
        <references count="7">
          <reference field="0" count="1" selected="0">
            <x v="5"/>
          </reference>
          <reference field="4" count="1" selected="0">
            <x v="0"/>
          </reference>
          <reference field="5" count="1" selected="0">
            <x v="10"/>
          </reference>
          <reference field="8" count="1" selected="0">
            <x v="2"/>
          </reference>
          <reference field="10" count="1" selected="0">
            <x v="0"/>
          </reference>
          <reference field="11" count="1">
            <x v="3"/>
          </reference>
          <reference field="12" count="1" selected="0">
            <x v="29"/>
          </reference>
        </references>
      </pivotArea>
    </format>
    <format dxfId="1502">
      <pivotArea dataOnly="0" labelOnly="1" outline="0" fieldPosition="0">
        <references count="7">
          <reference field="0" count="1" selected="0">
            <x v="6"/>
          </reference>
          <reference field="4" count="1" selected="0">
            <x v="0"/>
          </reference>
          <reference field="5" count="1" selected="0">
            <x v="11"/>
          </reference>
          <reference field="8" count="1" selected="0">
            <x v="2"/>
          </reference>
          <reference field="10" count="1" selected="0">
            <x v="0"/>
          </reference>
          <reference field="11" count="1">
            <x v="3"/>
          </reference>
          <reference field="12" count="1" selected="0">
            <x v="30"/>
          </reference>
        </references>
      </pivotArea>
    </format>
    <format dxfId="1501">
      <pivotArea dataOnly="0" labelOnly="1" outline="0" fieldPosition="0">
        <references count="7">
          <reference field="0" count="1" selected="0">
            <x v="7"/>
          </reference>
          <reference field="4" count="1" selected="0">
            <x v="0"/>
          </reference>
          <reference field="5" count="1" selected="0">
            <x v="11"/>
          </reference>
          <reference field="8" count="1" selected="0">
            <x v="2"/>
          </reference>
          <reference field="10" count="1" selected="0">
            <x v="0"/>
          </reference>
          <reference field="11" count="1">
            <x v="5"/>
          </reference>
          <reference field="12" count="1" selected="0">
            <x v="32"/>
          </reference>
        </references>
      </pivotArea>
    </format>
    <format dxfId="1500">
      <pivotArea dataOnly="0" labelOnly="1" outline="0" fieldPosition="0">
        <references count="7">
          <reference field="0" count="1" selected="0">
            <x v="8"/>
          </reference>
          <reference field="4" count="1" selected="0">
            <x v="0"/>
          </reference>
          <reference field="5" count="1" selected="0">
            <x v="11"/>
          </reference>
          <reference field="8" count="1" selected="0">
            <x v="2"/>
          </reference>
          <reference field="10" count="1" selected="0">
            <x v="0"/>
          </reference>
          <reference field="11" count="1">
            <x v="3"/>
          </reference>
          <reference field="12" count="1" selected="0">
            <x v="30"/>
          </reference>
        </references>
      </pivotArea>
    </format>
    <format dxfId="1499">
      <pivotArea dataOnly="0" labelOnly="1" outline="0" fieldPosition="0">
        <references count="8">
          <reference field="0" count="1" selected="0">
            <x v="9"/>
          </reference>
          <reference field="4" count="1" selected="0">
            <x v="2"/>
          </reference>
          <reference field="5" count="1" selected="0">
            <x v="0"/>
          </reference>
          <reference field="8" count="1" selected="0">
            <x v="6"/>
          </reference>
          <reference field="10" count="1" selected="0">
            <x v="0"/>
          </reference>
          <reference field="11" count="1" selected="0">
            <x v="4"/>
          </reference>
          <reference field="12" count="1" selected="0">
            <x v="16"/>
          </reference>
          <reference field="13" count="1">
            <x v="5"/>
          </reference>
        </references>
      </pivotArea>
    </format>
    <format dxfId="1498">
      <pivotArea dataOnly="0" labelOnly="1" outline="0" fieldPosition="0">
        <references count="8">
          <reference field="0" count="1" selected="0">
            <x v="10"/>
          </reference>
          <reference field="4" count="1" selected="0">
            <x v="2"/>
          </reference>
          <reference field="5" count="1" selected="0">
            <x v="0"/>
          </reference>
          <reference field="8" count="1" selected="0">
            <x v="6"/>
          </reference>
          <reference field="10" count="1" selected="0">
            <x v="0"/>
          </reference>
          <reference field="11" count="1" selected="0">
            <x v="4"/>
          </reference>
          <reference field="12" count="1" selected="0">
            <x v="14"/>
          </reference>
          <reference field="13" count="1">
            <x v="19"/>
          </reference>
        </references>
      </pivotArea>
    </format>
    <format dxfId="1497">
      <pivotArea dataOnly="0" labelOnly="1" outline="0" fieldPosition="0">
        <references count="8">
          <reference field="0" count="1" selected="0">
            <x v="11"/>
          </reference>
          <reference field="4" count="1" selected="0">
            <x v="2"/>
          </reference>
          <reference field="5" count="1" selected="0">
            <x v="0"/>
          </reference>
          <reference field="8" count="1" selected="0">
            <x v="3"/>
          </reference>
          <reference field="10" count="1" selected="0">
            <x v="0"/>
          </reference>
          <reference field="11" count="1" selected="0">
            <x v="4"/>
          </reference>
          <reference field="12" count="1" selected="0">
            <x v="11"/>
          </reference>
          <reference field="13" count="1">
            <x v="21"/>
          </reference>
        </references>
      </pivotArea>
    </format>
    <format dxfId="1496">
      <pivotArea dataOnly="0" labelOnly="1" outline="0" fieldPosition="0">
        <references count="8">
          <reference field="0" count="1" selected="0">
            <x v="12"/>
          </reference>
          <reference field="4" count="1" selected="0">
            <x v="2"/>
          </reference>
          <reference field="5" count="1" selected="0">
            <x v="0"/>
          </reference>
          <reference field="8" count="1" selected="0">
            <x v="7"/>
          </reference>
          <reference field="10" count="1" selected="0">
            <x v="0"/>
          </reference>
          <reference field="11" count="1" selected="0">
            <x v="0"/>
          </reference>
          <reference field="12" count="1" selected="0">
            <x v="5"/>
          </reference>
          <reference field="13" count="1">
            <x v="7"/>
          </reference>
        </references>
      </pivotArea>
    </format>
    <format dxfId="1495">
      <pivotArea dataOnly="0" labelOnly="1" outline="0" fieldPosition="0">
        <references count="8">
          <reference field="0" count="1" selected="0">
            <x v="12"/>
          </reference>
          <reference field="4" count="1" selected="0">
            <x v="2"/>
          </reference>
          <reference field="5" count="1" selected="0">
            <x v="0"/>
          </reference>
          <reference field="8" count="1" selected="0">
            <x v="7"/>
          </reference>
          <reference field="10" count="1" selected="0">
            <x v="0"/>
          </reference>
          <reference field="11" count="1" selected="0">
            <x v="0"/>
          </reference>
          <reference field="12" count="1" selected="0">
            <x v="8"/>
          </reference>
          <reference field="13" count="1">
            <x v="8"/>
          </reference>
        </references>
      </pivotArea>
    </format>
    <format dxfId="1494">
      <pivotArea dataOnly="0" labelOnly="1" outline="0" fieldPosition="0">
        <references count="8">
          <reference field="0" count="1" selected="0">
            <x v="13"/>
          </reference>
          <reference field="4" count="1" selected="0">
            <x v="2"/>
          </reference>
          <reference field="5" count="1" selected="0">
            <x v="0"/>
          </reference>
          <reference field="8" count="1" selected="0">
            <x v="7"/>
          </reference>
          <reference field="10" count="1" selected="0">
            <x v="0"/>
          </reference>
          <reference field="11" count="1" selected="0">
            <x v="0"/>
          </reference>
          <reference field="12" count="1" selected="0">
            <x v="15"/>
          </reference>
          <reference field="13" count="1">
            <x v="34"/>
          </reference>
        </references>
      </pivotArea>
    </format>
    <format dxfId="1493">
      <pivotArea dataOnly="0" labelOnly="1" outline="0" fieldPosition="0">
        <references count="8">
          <reference field="0" count="1" selected="0">
            <x v="13"/>
          </reference>
          <reference field="4" count="1" selected="0">
            <x v="2"/>
          </reference>
          <reference field="5" count="1" selected="0">
            <x v="0"/>
          </reference>
          <reference field="8" count="1" selected="0">
            <x v="7"/>
          </reference>
          <reference field="10" count="1" selected="0">
            <x v="0"/>
          </reference>
          <reference field="11" count="1" selected="0">
            <x v="1"/>
          </reference>
          <reference field="12" count="1" selected="0">
            <x v="18"/>
          </reference>
          <reference field="13" count="1">
            <x v="24"/>
          </reference>
        </references>
      </pivotArea>
    </format>
    <format dxfId="1492">
      <pivotArea dataOnly="0" labelOnly="1" outline="0" fieldPosition="0">
        <references count="8">
          <reference field="0" count="1" selected="0">
            <x v="14"/>
          </reference>
          <reference field="4" count="1" selected="0">
            <x v="2"/>
          </reference>
          <reference field="5" count="1" selected="0">
            <x v="0"/>
          </reference>
          <reference field="8" count="1" selected="0">
            <x v="5"/>
          </reference>
          <reference field="10" count="1" selected="0">
            <x v="2"/>
          </reference>
          <reference field="11" count="1" selected="0">
            <x v="7"/>
          </reference>
          <reference field="12" count="1" selected="0">
            <x v="34"/>
          </reference>
          <reference field="13" count="1">
            <x v="18"/>
          </reference>
        </references>
      </pivotArea>
    </format>
    <format dxfId="1491">
      <pivotArea dataOnly="0" labelOnly="1" outline="0" fieldPosition="0">
        <references count="8">
          <reference field="0" count="1" selected="0">
            <x v="15"/>
          </reference>
          <reference field="4" count="1" selected="0">
            <x v="2"/>
          </reference>
          <reference field="5" count="1" selected="0">
            <x v="1"/>
          </reference>
          <reference field="8" count="1" selected="0">
            <x v="1"/>
          </reference>
          <reference field="10" count="1" selected="0">
            <x v="0"/>
          </reference>
          <reference field="11" count="1" selected="0">
            <x v="7"/>
          </reference>
          <reference field="12" count="1" selected="0">
            <x v="33"/>
          </reference>
          <reference field="13" count="1">
            <x v="2"/>
          </reference>
        </references>
      </pivotArea>
    </format>
    <format dxfId="1490">
      <pivotArea dataOnly="0" labelOnly="1" outline="0" fieldPosition="0">
        <references count="8">
          <reference field="0" count="1" selected="0">
            <x v="21"/>
          </reference>
          <reference field="4" count="1" selected="0">
            <x v="2"/>
          </reference>
          <reference field="5" count="1" selected="0">
            <x v="2"/>
          </reference>
          <reference field="8" count="1" selected="0">
            <x v="6"/>
          </reference>
          <reference field="10" count="1" selected="0">
            <x v="0"/>
          </reference>
          <reference field="11" count="1" selected="0">
            <x v="2"/>
          </reference>
          <reference field="12" count="1" selected="0">
            <x v="13"/>
          </reference>
          <reference field="13" count="1">
            <x v="4"/>
          </reference>
        </references>
      </pivotArea>
    </format>
    <format dxfId="1489">
      <pivotArea dataOnly="0" labelOnly="1" outline="0" fieldPosition="0">
        <references count="8">
          <reference field="0" count="1" selected="0">
            <x v="22"/>
          </reference>
          <reference field="4" count="1" selected="0">
            <x v="2"/>
          </reference>
          <reference field="5" count="1" selected="0">
            <x v="2"/>
          </reference>
          <reference field="8" count="1" selected="0">
            <x v="6"/>
          </reference>
          <reference field="10" count="1" selected="0">
            <x v="0"/>
          </reference>
          <reference field="11" count="1" selected="0">
            <x v="4"/>
          </reference>
          <reference field="12" count="1" selected="0">
            <x v="17"/>
          </reference>
          <reference field="13" count="1">
            <x v="20"/>
          </reference>
        </references>
      </pivotArea>
    </format>
    <format dxfId="1488">
      <pivotArea dataOnly="0" labelOnly="1" outline="0" fieldPosition="0">
        <references count="8">
          <reference field="0" count="1" selected="0">
            <x v="23"/>
          </reference>
          <reference field="4" count="1" selected="0">
            <x v="2"/>
          </reference>
          <reference field="5" count="1" selected="0">
            <x v="2"/>
          </reference>
          <reference field="8" count="1" selected="0">
            <x v="3"/>
          </reference>
          <reference field="10" count="1" selected="0">
            <x v="0"/>
          </reference>
          <reference field="11" count="1" selected="0">
            <x v="4"/>
          </reference>
          <reference field="12" count="1" selected="0">
            <x v="19"/>
          </reference>
          <reference field="13" count="1">
            <x v="22"/>
          </reference>
        </references>
      </pivotArea>
    </format>
    <format dxfId="1487">
      <pivotArea dataOnly="0" labelOnly="1" outline="0" fieldPosition="0">
        <references count="8">
          <reference field="0" count="1" selected="0">
            <x v="24"/>
          </reference>
          <reference field="4" count="1" selected="0">
            <x v="2"/>
          </reference>
          <reference field="5" count="1" selected="0">
            <x v="2"/>
          </reference>
          <reference field="8" count="1" selected="0">
            <x v="7"/>
          </reference>
          <reference field="10" count="1" selected="0">
            <x v="0"/>
          </reference>
          <reference field="11" count="1" selected="0">
            <x v="0"/>
          </reference>
          <reference field="12" count="1" selected="0">
            <x v="0"/>
          </reference>
          <reference field="13" count="1">
            <x v="10"/>
          </reference>
        </references>
      </pivotArea>
    </format>
    <format dxfId="1486">
      <pivotArea dataOnly="0" labelOnly="1" outline="0" fieldPosition="0">
        <references count="8">
          <reference field="0" count="1" selected="0">
            <x v="24"/>
          </reference>
          <reference field="4" count="1" selected="0">
            <x v="2"/>
          </reference>
          <reference field="5" count="1" selected="0">
            <x v="2"/>
          </reference>
          <reference field="8" count="1" selected="0">
            <x v="7"/>
          </reference>
          <reference field="10" count="1" selected="0">
            <x v="0"/>
          </reference>
          <reference field="11" count="1" selected="0">
            <x v="0"/>
          </reference>
          <reference field="12" count="1" selected="0">
            <x v="1"/>
          </reference>
          <reference field="13" count="1">
            <x v="25"/>
          </reference>
        </references>
      </pivotArea>
    </format>
    <format dxfId="1485">
      <pivotArea dataOnly="0" labelOnly="1" outline="0" fieldPosition="0">
        <references count="8">
          <reference field="0" count="1" selected="0">
            <x v="25"/>
          </reference>
          <reference field="4" count="1" selected="0">
            <x v="2"/>
          </reference>
          <reference field="5" count="1" selected="0">
            <x v="2"/>
          </reference>
          <reference field="8" count="1" selected="0">
            <x v="7"/>
          </reference>
          <reference field="10" count="1" selected="0">
            <x v="0"/>
          </reference>
          <reference field="11" count="1" selected="0">
            <x v="0"/>
          </reference>
          <reference field="12" count="1" selected="0">
            <x v="15"/>
          </reference>
          <reference field="13" count="1">
            <x v="34"/>
          </reference>
        </references>
      </pivotArea>
    </format>
    <format dxfId="1484">
      <pivotArea dataOnly="0" labelOnly="1" outline="0" fieldPosition="0">
        <references count="8">
          <reference field="0" count="1" selected="0">
            <x v="25"/>
          </reference>
          <reference field="4" count="1" selected="0">
            <x v="2"/>
          </reference>
          <reference field="5" count="1" selected="0">
            <x v="2"/>
          </reference>
          <reference field="8" count="1" selected="0">
            <x v="7"/>
          </reference>
          <reference field="10" count="1" selected="0">
            <x v="0"/>
          </reference>
          <reference field="11" count="1" selected="0">
            <x v="1"/>
          </reference>
          <reference field="12" count="1" selected="0">
            <x v="18"/>
          </reference>
          <reference field="13" count="1">
            <x v="24"/>
          </reference>
        </references>
      </pivotArea>
    </format>
    <format dxfId="1483">
      <pivotArea dataOnly="0" labelOnly="1" outline="0" fieldPosition="0">
        <references count="8">
          <reference field="0" count="1" selected="0">
            <x v="26"/>
          </reference>
          <reference field="4" count="1" selected="0">
            <x v="2"/>
          </reference>
          <reference field="5" count="1" selected="0">
            <x v="2"/>
          </reference>
          <reference field="8" count="1" selected="0">
            <x v="5"/>
          </reference>
          <reference field="10" count="1" selected="0">
            <x v="2"/>
          </reference>
          <reference field="11" count="1" selected="0">
            <x v="7"/>
          </reference>
          <reference field="12" count="1" selected="0">
            <x v="34"/>
          </reference>
          <reference field="13" count="1">
            <x v="18"/>
          </reference>
        </references>
      </pivotArea>
    </format>
    <format dxfId="1482">
      <pivotArea dataOnly="0" labelOnly="1" outline="0" fieldPosition="0">
        <references count="8">
          <reference field="0" count="1" selected="0">
            <x v="27"/>
          </reference>
          <reference field="4" count="1" selected="0">
            <x v="2"/>
          </reference>
          <reference field="5" count="1" selected="0">
            <x v="3"/>
          </reference>
          <reference field="8" count="1" selected="0">
            <x v="7"/>
          </reference>
          <reference field="10" count="1" selected="0">
            <x v="0"/>
          </reference>
          <reference field="11" count="1" selected="0">
            <x v="6"/>
          </reference>
          <reference field="12" count="1" selected="0">
            <x v="6"/>
          </reference>
          <reference field="13" count="1">
            <x v="33"/>
          </reference>
        </references>
      </pivotArea>
    </format>
    <format dxfId="1481">
      <pivotArea dataOnly="0" labelOnly="1" outline="0" fieldPosition="0">
        <references count="8">
          <reference field="0" count="1" selected="0">
            <x v="28"/>
          </reference>
          <reference field="4" count="1" selected="0">
            <x v="2"/>
          </reference>
          <reference field="5" count="1" selected="0">
            <x v="3"/>
          </reference>
          <reference field="8" count="1" selected="0">
            <x v="7"/>
          </reference>
          <reference field="10" count="1" selected="0">
            <x v="0"/>
          </reference>
          <reference field="11" count="1" selected="0">
            <x v="6"/>
          </reference>
          <reference field="12" count="1" selected="0">
            <x v="7"/>
          </reference>
          <reference field="13" count="1">
            <x v="15"/>
          </reference>
        </references>
      </pivotArea>
    </format>
    <format dxfId="1480">
      <pivotArea dataOnly="0" labelOnly="1" outline="0" fieldPosition="0">
        <references count="8">
          <reference field="0" count="1" selected="0">
            <x v="29"/>
          </reference>
          <reference field="4" count="1" selected="0">
            <x v="2"/>
          </reference>
          <reference field="5" count="1" selected="0">
            <x v="3"/>
          </reference>
          <reference field="8" count="1" selected="0">
            <x v="3"/>
          </reference>
          <reference field="10" count="1" selected="0">
            <x v="0"/>
          </reference>
          <reference field="11" count="1" selected="0">
            <x v="4"/>
          </reference>
          <reference field="12" count="1" selected="0">
            <x v="11"/>
          </reference>
          <reference field="13" count="1">
            <x v="21"/>
          </reference>
        </references>
      </pivotArea>
    </format>
    <format dxfId="1479">
      <pivotArea dataOnly="0" labelOnly="1" outline="0" fieldPosition="0">
        <references count="8">
          <reference field="0" count="1" selected="0">
            <x v="30"/>
          </reference>
          <reference field="4" count="1" selected="0">
            <x v="2"/>
          </reference>
          <reference field="5" count="1" selected="0">
            <x v="3"/>
          </reference>
          <reference field="8" count="1" selected="0">
            <x v="4"/>
          </reference>
          <reference field="10" count="1" selected="0">
            <x v="1"/>
          </reference>
          <reference field="11" count="1" selected="0">
            <x v="0"/>
          </reference>
          <reference field="12" count="1" selected="0">
            <x v="5"/>
          </reference>
          <reference field="13" count="1">
            <x v="7"/>
          </reference>
        </references>
      </pivotArea>
    </format>
    <format dxfId="1478">
      <pivotArea dataOnly="0" labelOnly="1" outline="0" fieldPosition="0">
        <references count="8">
          <reference field="0" count="1" selected="0">
            <x v="30"/>
          </reference>
          <reference field="4" count="1" selected="0">
            <x v="2"/>
          </reference>
          <reference field="5" count="1" selected="0">
            <x v="3"/>
          </reference>
          <reference field="8" count="1" selected="0">
            <x v="4"/>
          </reference>
          <reference field="10" count="1" selected="0">
            <x v="1"/>
          </reference>
          <reference field="11" count="1" selected="0">
            <x v="0"/>
          </reference>
          <reference field="12" count="1" selected="0">
            <x v="8"/>
          </reference>
          <reference field="13" count="1">
            <x v="8"/>
          </reference>
        </references>
      </pivotArea>
    </format>
    <format dxfId="1477">
      <pivotArea dataOnly="0" labelOnly="1" outline="0" fieldPosition="0">
        <references count="8">
          <reference field="0" count="1" selected="0">
            <x v="31"/>
          </reference>
          <reference field="4" count="1" selected="0">
            <x v="2"/>
          </reference>
          <reference field="5" count="1" selected="0">
            <x v="3"/>
          </reference>
          <reference field="8" count="1" selected="0">
            <x v="0"/>
          </reference>
          <reference field="10" count="1" selected="0">
            <x v="0"/>
          </reference>
          <reference field="11" count="1" selected="0">
            <x v="6"/>
          </reference>
          <reference field="12" count="1" selected="0">
            <x v="9"/>
          </reference>
          <reference field="13" count="1">
            <x v="26"/>
          </reference>
        </references>
      </pivotArea>
    </format>
    <format dxfId="1476">
      <pivotArea dataOnly="0" labelOnly="1" outline="0" fieldPosition="0">
        <references count="8">
          <reference field="0" count="1" selected="0">
            <x v="32"/>
          </reference>
          <reference field="4" count="1" selected="0">
            <x v="2"/>
          </reference>
          <reference field="5" count="1" selected="0">
            <x v="3"/>
          </reference>
          <reference field="8" count="1" selected="0">
            <x v="0"/>
          </reference>
          <reference field="10" count="1" selected="0">
            <x v="0"/>
          </reference>
          <reference field="11" count="1" selected="0">
            <x v="6"/>
          </reference>
          <reference field="12" count="1" selected="0">
            <x v="10"/>
          </reference>
          <reference field="13" count="1">
            <x v="27"/>
          </reference>
        </references>
      </pivotArea>
    </format>
    <format dxfId="1475">
      <pivotArea dataOnly="0" labelOnly="1" outline="0" fieldPosition="0">
        <references count="8">
          <reference field="0" count="1" selected="0">
            <x v="35"/>
          </reference>
          <reference field="4" count="1" selected="0">
            <x v="1"/>
          </reference>
          <reference field="5" count="1" selected="0">
            <x v="4"/>
          </reference>
          <reference field="8" count="1" selected="0">
            <x v="3"/>
          </reference>
          <reference field="10" count="1" selected="0">
            <x v="1"/>
          </reference>
          <reference field="11" count="1" selected="0">
            <x v="4"/>
          </reference>
          <reference field="12" count="1" selected="0">
            <x v="4"/>
          </reference>
          <reference field="13" count="1">
            <x v="31"/>
          </reference>
        </references>
      </pivotArea>
    </format>
    <format dxfId="1474">
      <pivotArea dataOnly="0" labelOnly="1" outline="0" fieldPosition="0">
        <references count="8">
          <reference field="0" count="1" selected="0">
            <x v="36"/>
          </reference>
          <reference field="4" count="1" selected="0">
            <x v="1"/>
          </reference>
          <reference field="5" count="1" selected="0">
            <x v="4"/>
          </reference>
          <reference field="8" count="1" selected="0">
            <x v="3"/>
          </reference>
          <reference field="10" count="1" selected="0">
            <x v="1"/>
          </reference>
          <reference field="11" count="1" selected="0">
            <x v="4"/>
          </reference>
          <reference field="12" count="1" selected="0">
            <x v="3"/>
          </reference>
          <reference field="13" count="1">
            <x v="16"/>
          </reference>
        </references>
      </pivotArea>
    </format>
    <format dxfId="1473">
      <pivotArea dataOnly="0" labelOnly="1" outline="0" fieldPosition="0">
        <references count="8">
          <reference field="0" count="1" selected="0">
            <x v="37"/>
          </reference>
          <reference field="4" count="1" selected="0">
            <x v="1"/>
          </reference>
          <reference field="5" count="1" selected="0">
            <x v="4"/>
          </reference>
          <reference field="8" count="1" selected="0">
            <x v="5"/>
          </reference>
          <reference field="10" count="1" selected="0">
            <x v="2"/>
          </reference>
          <reference field="11" count="1" selected="0">
            <x v="7"/>
          </reference>
          <reference field="12" count="1" selected="0">
            <x v="34"/>
          </reference>
          <reference field="13" count="1">
            <x v="18"/>
          </reference>
        </references>
      </pivotArea>
    </format>
    <format dxfId="1472">
      <pivotArea dataOnly="0" labelOnly="1" outline="0" fieldPosition="0">
        <references count="8">
          <reference field="0" count="1" selected="0">
            <x v="38"/>
          </reference>
          <reference field="4" count="1" selected="0">
            <x v="1"/>
          </reference>
          <reference field="5" count="1" selected="0">
            <x v="4"/>
          </reference>
          <reference field="8" count="1" selected="0">
            <x v="4"/>
          </reference>
          <reference field="10" count="1" selected="0">
            <x v="1"/>
          </reference>
          <reference field="11" count="1" selected="0">
            <x v="0"/>
          </reference>
          <reference field="12" count="1" selected="0">
            <x v="0"/>
          </reference>
          <reference field="13" count="1">
            <x v="10"/>
          </reference>
        </references>
      </pivotArea>
    </format>
    <format dxfId="1471">
      <pivotArea dataOnly="0" labelOnly="1" outline="0" fieldPosition="0">
        <references count="8">
          <reference field="0" count="1" selected="0">
            <x v="38"/>
          </reference>
          <reference field="4" count="1" selected="0">
            <x v="1"/>
          </reference>
          <reference field="5" count="1" selected="0">
            <x v="4"/>
          </reference>
          <reference field="8" count="1" selected="0">
            <x v="4"/>
          </reference>
          <reference field="10" count="1" selected="0">
            <x v="1"/>
          </reference>
          <reference field="11" count="1" selected="0">
            <x v="0"/>
          </reference>
          <reference field="12" count="1" selected="0">
            <x v="1"/>
          </reference>
          <reference field="13" count="1">
            <x v="25"/>
          </reference>
        </references>
      </pivotArea>
    </format>
    <format dxfId="1470">
      <pivotArea dataOnly="0" labelOnly="1" outline="0" fieldPosition="0">
        <references count="8">
          <reference field="0" count="1" selected="0">
            <x v="38"/>
          </reference>
          <reference field="4" count="1" selected="0">
            <x v="1"/>
          </reference>
          <reference field="5" count="1" selected="0">
            <x v="4"/>
          </reference>
          <reference field="8" count="1" selected="0">
            <x v="4"/>
          </reference>
          <reference field="10" count="1" selected="0">
            <x v="1"/>
          </reference>
          <reference field="11" count="1" selected="0">
            <x v="0"/>
          </reference>
          <reference field="12" count="1" selected="0">
            <x v="2"/>
          </reference>
          <reference field="13" count="1">
            <x v="3"/>
          </reference>
        </references>
      </pivotArea>
    </format>
    <format dxfId="1469">
      <pivotArea dataOnly="0" labelOnly="1" outline="0" fieldPosition="0">
        <references count="8">
          <reference field="0" count="1" selected="0">
            <x v="39"/>
          </reference>
          <reference field="4" count="1" selected="0">
            <x v="1"/>
          </reference>
          <reference field="5" count="1" selected="0">
            <x v="5"/>
          </reference>
          <reference field="8" count="1" selected="0">
            <x v="6"/>
          </reference>
          <reference field="10" count="1" selected="0">
            <x v="0"/>
          </reference>
          <reference field="11" count="1" selected="0">
            <x v="1"/>
          </reference>
          <reference field="12" count="1" selected="0">
            <x v="22"/>
          </reference>
          <reference field="13" count="1">
            <x v="1"/>
          </reference>
        </references>
      </pivotArea>
    </format>
    <format dxfId="1468">
      <pivotArea dataOnly="0" labelOnly="1" outline="0" fieldPosition="0">
        <references count="8">
          <reference field="0" count="1" selected="0">
            <x v="40"/>
          </reference>
          <reference field="4" count="1" selected="0">
            <x v="1"/>
          </reference>
          <reference field="5" count="1" selected="0">
            <x v="5"/>
          </reference>
          <reference field="8" count="1" selected="0">
            <x v="3"/>
          </reference>
          <reference field="10" count="1" selected="0">
            <x v="0"/>
          </reference>
          <reference field="11" count="1" selected="0">
            <x v="6"/>
          </reference>
          <reference field="12" count="1" selected="0">
            <x v="12"/>
          </reference>
          <reference field="13" count="1">
            <x v="28"/>
          </reference>
        </references>
      </pivotArea>
    </format>
    <format dxfId="1467">
      <pivotArea dataOnly="0" labelOnly="1" outline="0" fieldPosition="0">
        <references count="8">
          <reference field="0" count="1" selected="0">
            <x v="43"/>
          </reference>
          <reference field="4" count="1" selected="0">
            <x v="1"/>
          </reference>
          <reference field="5" count="1" selected="0">
            <x v="5"/>
          </reference>
          <reference field="8" count="1" selected="0">
            <x v="3"/>
          </reference>
          <reference field="10" count="1" selected="0">
            <x v="0"/>
          </reference>
          <reference field="11" count="1" selected="0">
            <x v="4"/>
          </reference>
          <reference field="12" count="1" selected="0">
            <x v="21"/>
          </reference>
          <reference field="13" count="1">
            <x v="17"/>
          </reference>
        </references>
      </pivotArea>
    </format>
    <format dxfId="1466">
      <pivotArea dataOnly="0" labelOnly="1" outline="0" fieldPosition="0">
        <references count="8">
          <reference field="0" count="1" selected="0">
            <x v="44"/>
          </reference>
          <reference field="4" count="1" selected="0">
            <x v="1"/>
          </reference>
          <reference field="5" count="1" selected="0">
            <x v="5"/>
          </reference>
          <reference field="8" count="1" selected="0">
            <x v="3"/>
          </reference>
          <reference field="10" count="1" selected="0">
            <x v="0"/>
          </reference>
          <reference field="11" count="1" selected="0">
            <x v="1"/>
          </reference>
          <reference field="12" count="1" selected="0">
            <x v="13"/>
          </reference>
          <reference field="13" count="1">
            <x v="4"/>
          </reference>
        </references>
      </pivotArea>
    </format>
    <format dxfId="1465">
      <pivotArea dataOnly="0" labelOnly="1" outline="0" fieldPosition="0">
        <references count="8">
          <reference field="0" count="1" selected="0">
            <x v="44"/>
          </reference>
          <reference field="4" count="1" selected="0">
            <x v="1"/>
          </reference>
          <reference field="5" count="1" selected="0">
            <x v="5"/>
          </reference>
          <reference field="8" count="1" selected="0">
            <x v="3"/>
          </reference>
          <reference field="10" count="1" selected="0">
            <x v="0"/>
          </reference>
          <reference field="11" count="1" selected="0">
            <x v="1"/>
          </reference>
          <reference field="12" count="1" selected="0">
            <x v="16"/>
          </reference>
          <reference field="13" count="1">
            <x v="5"/>
          </reference>
        </references>
      </pivotArea>
    </format>
    <format dxfId="1464">
      <pivotArea dataOnly="0" labelOnly="1" outline="0" fieldPosition="0">
        <references count="8">
          <reference field="0" count="1" selected="0">
            <x v="49"/>
          </reference>
          <reference field="4" count="1" selected="0">
            <x v="1"/>
          </reference>
          <reference field="5" count="1" selected="0">
            <x v="5"/>
          </reference>
          <reference field="8" count="1" selected="0">
            <x v="7"/>
          </reference>
          <reference field="10" count="1" selected="0">
            <x v="0"/>
          </reference>
          <reference field="11" count="1" selected="0">
            <x v="0"/>
          </reference>
          <reference field="12" count="1" selected="0">
            <x v="15"/>
          </reference>
          <reference field="13" count="1">
            <x v="34"/>
          </reference>
        </references>
      </pivotArea>
    </format>
    <format dxfId="1463">
      <pivotArea dataOnly="0" labelOnly="1" outline="0" fieldPosition="0">
        <references count="8">
          <reference field="0" count="1" selected="0">
            <x v="50"/>
          </reference>
          <reference field="4" count="1" selected="0">
            <x v="1"/>
          </reference>
          <reference field="5" count="1" selected="0">
            <x v="5"/>
          </reference>
          <reference field="8" count="1" selected="0">
            <x v="6"/>
          </reference>
          <reference field="10" count="1" selected="0">
            <x v="0"/>
          </reference>
          <reference field="11" count="1" selected="0">
            <x v="4"/>
          </reference>
          <reference field="12" count="1" selected="0">
            <x v="20"/>
          </reference>
          <reference field="13" count="1">
            <x v="35"/>
          </reference>
        </references>
      </pivotArea>
    </format>
    <format dxfId="1462">
      <pivotArea dataOnly="0" labelOnly="1" outline="0" fieldPosition="0">
        <references count="8">
          <reference field="0" count="1" selected="0">
            <x v="52"/>
          </reference>
          <reference field="4" count="1" selected="0">
            <x v="1"/>
          </reference>
          <reference field="5" count="1" selected="0">
            <x v="6"/>
          </reference>
          <reference field="8" count="1" selected="0">
            <x v="3"/>
          </reference>
          <reference field="10" count="1" selected="0">
            <x v="0"/>
          </reference>
          <reference field="11" count="1" selected="0">
            <x v="4"/>
          </reference>
          <reference field="12" count="1" selected="0">
            <x v="21"/>
          </reference>
          <reference field="13" count="1">
            <x v="17"/>
          </reference>
        </references>
      </pivotArea>
    </format>
    <format dxfId="1461">
      <pivotArea dataOnly="0" labelOnly="1" outline="0" fieldPosition="0">
        <references count="8">
          <reference field="0" count="1" selected="0">
            <x v="53"/>
          </reference>
          <reference field="4" count="1" selected="0">
            <x v="1"/>
          </reference>
          <reference field="5" count="1" selected="0">
            <x v="6"/>
          </reference>
          <reference field="8" count="1" selected="0">
            <x v="6"/>
          </reference>
          <reference field="10" count="1" selected="0">
            <x v="0"/>
          </reference>
          <reference field="11" count="1" selected="0">
            <x v="0"/>
          </reference>
          <reference field="12" count="1" selected="0">
            <x v="15"/>
          </reference>
          <reference field="13" count="1">
            <x v="34"/>
          </reference>
        </references>
      </pivotArea>
    </format>
    <format dxfId="1460">
      <pivotArea dataOnly="0" labelOnly="1" outline="0" fieldPosition="0">
        <references count="8">
          <reference field="0" count="1" selected="0">
            <x v="58"/>
          </reference>
          <reference field="4" count="1" selected="0">
            <x v="1"/>
          </reference>
          <reference field="5" count="1" selected="0">
            <x v="6"/>
          </reference>
          <reference field="8" count="1" selected="0">
            <x v="3"/>
          </reference>
          <reference field="10" count="1" selected="0">
            <x v="0"/>
          </reference>
          <reference field="11" count="1" selected="0">
            <x v="4"/>
          </reference>
          <reference field="12" count="1" selected="0">
            <x v="24"/>
          </reference>
          <reference field="13" count="1">
            <x v="9"/>
          </reference>
        </references>
      </pivotArea>
    </format>
    <format dxfId="1459">
      <pivotArea dataOnly="0" labelOnly="1" outline="0" fieldPosition="0">
        <references count="8">
          <reference field="0" count="1" selected="0">
            <x v="64"/>
          </reference>
          <reference field="4" count="1" selected="0">
            <x v="1"/>
          </reference>
          <reference field="5" count="1" selected="0">
            <x v="6"/>
          </reference>
          <reference field="8" count="1" selected="0">
            <x v="6"/>
          </reference>
          <reference field="10" count="1" selected="0">
            <x v="0"/>
          </reference>
          <reference field="11" count="1" selected="0">
            <x v="5"/>
          </reference>
          <reference field="12" count="1" selected="0">
            <x v="35"/>
          </reference>
          <reference field="13" count="1">
            <x v="36"/>
          </reference>
        </references>
      </pivotArea>
    </format>
    <format dxfId="1458">
      <pivotArea dataOnly="0" labelOnly="1" outline="0" fieldPosition="0">
        <references count="8">
          <reference field="0" count="1" selected="0">
            <x v="65"/>
          </reference>
          <reference field="4" count="1" selected="0">
            <x v="1"/>
          </reference>
          <reference field="5" count="1" selected="0">
            <x v="6"/>
          </reference>
          <reference field="8" count="1" selected="0">
            <x v="7"/>
          </reference>
          <reference field="10" count="1" selected="0">
            <x v="0"/>
          </reference>
          <reference field="11" count="1" selected="0">
            <x v="0"/>
          </reference>
          <reference field="12" count="1" selected="0">
            <x v="0"/>
          </reference>
          <reference field="13" count="1">
            <x v="10"/>
          </reference>
        </references>
      </pivotArea>
    </format>
    <format dxfId="1457">
      <pivotArea dataOnly="0" labelOnly="1" outline="0" fieldPosition="0">
        <references count="8">
          <reference field="0" count="1" selected="0">
            <x v="65"/>
          </reference>
          <reference field="4" count="1" selected="0">
            <x v="1"/>
          </reference>
          <reference field="5" count="1" selected="0">
            <x v="6"/>
          </reference>
          <reference field="8" count="1" selected="0">
            <x v="7"/>
          </reference>
          <reference field="10" count="1" selected="0">
            <x v="0"/>
          </reference>
          <reference field="11" count="1" selected="0">
            <x v="0"/>
          </reference>
          <reference field="12" count="1" selected="0">
            <x v="1"/>
          </reference>
          <reference field="13" count="1">
            <x v="25"/>
          </reference>
        </references>
      </pivotArea>
    </format>
    <format dxfId="1456">
      <pivotArea dataOnly="0" labelOnly="1" outline="0" fieldPosition="0">
        <references count="8">
          <reference field="0" count="1" selected="0">
            <x v="67"/>
          </reference>
          <reference field="4" count="1" selected="0">
            <x v="0"/>
          </reference>
          <reference field="5" count="1" selected="0">
            <x v="7"/>
          </reference>
          <reference field="8" count="1" selected="0">
            <x v="2"/>
          </reference>
          <reference field="10" count="1" selected="0">
            <x v="0"/>
          </reference>
          <reference field="11" count="1" selected="0">
            <x v="0"/>
          </reference>
          <reference field="12" count="1" selected="0">
            <x v="25"/>
          </reference>
          <reference field="13" count="1">
            <x v="12"/>
          </reference>
        </references>
      </pivotArea>
    </format>
    <format dxfId="1455">
      <pivotArea dataOnly="0" labelOnly="1" outline="0" fieldPosition="0">
        <references count="8">
          <reference field="0" count="1" selected="0">
            <x v="68"/>
          </reference>
          <reference field="4" count="1" selected="0">
            <x v="0"/>
          </reference>
          <reference field="5" count="1" selected="0">
            <x v="7"/>
          </reference>
          <reference field="8" count="1" selected="0">
            <x v="2"/>
          </reference>
          <reference field="10" count="1" selected="0">
            <x v="0"/>
          </reference>
          <reference field="11" count="1" selected="0">
            <x v="1"/>
          </reference>
          <reference field="12" count="1" selected="0">
            <x v="26"/>
          </reference>
          <reference field="13" count="1">
            <x v="13"/>
          </reference>
        </references>
      </pivotArea>
    </format>
    <format dxfId="1454">
      <pivotArea dataOnly="0" labelOnly="1" outline="0" fieldPosition="0">
        <references count="8">
          <reference field="0" count="1" selected="0">
            <x v="69"/>
          </reference>
          <reference field="4" count="1" selected="0">
            <x v="0"/>
          </reference>
          <reference field="5" count="1" selected="0">
            <x v="7"/>
          </reference>
          <reference field="8" count="1" selected="0">
            <x v="2"/>
          </reference>
          <reference field="10" count="1" selected="0">
            <x v="0"/>
          </reference>
          <reference field="11" count="1" selected="0">
            <x v="0"/>
          </reference>
          <reference field="12" count="1" selected="0">
            <x v="25"/>
          </reference>
          <reference field="13" count="1">
            <x v="12"/>
          </reference>
        </references>
      </pivotArea>
    </format>
    <format dxfId="1453">
      <pivotArea dataOnly="0" labelOnly="1" outline="0" fieldPosition="0">
        <references count="8">
          <reference field="0" count="1" selected="0">
            <x v="70"/>
          </reference>
          <reference field="4" count="1" selected="0">
            <x v="0"/>
          </reference>
          <reference field="5" count="1" selected="0">
            <x v="8"/>
          </reference>
          <reference field="8" count="1" selected="0">
            <x v="2"/>
          </reference>
          <reference field="10" count="1" selected="0">
            <x v="0"/>
          </reference>
          <reference field="11" count="1" selected="0">
            <x v="0"/>
          </reference>
          <reference field="12" count="1" selected="0">
            <x v="8"/>
          </reference>
          <reference field="13" count="1">
            <x v="8"/>
          </reference>
        </references>
      </pivotArea>
    </format>
    <format dxfId="1452">
      <pivotArea dataOnly="0" labelOnly="1" outline="0" fieldPosition="0">
        <references count="8">
          <reference field="0" count="1" selected="0">
            <x v="71"/>
          </reference>
          <reference field="4" count="1" selected="0">
            <x v="0"/>
          </reference>
          <reference field="5" count="1" selected="0">
            <x v="8"/>
          </reference>
          <reference field="8" count="1" selected="0">
            <x v="2"/>
          </reference>
          <reference field="10" count="1" selected="0">
            <x v="0"/>
          </reference>
          <reference field="11" count="1" selected="0">
            <x v="5"/>
          </reference>
          <reference field="12" count="1" selected="0">
            <x v="20"/>
          </reference>
          <reference field="13" count="1">
            <x v="35"/>
          </reference>
        </references>
      </pivotArea>
    </format>
    <format dxfId="1451">
      <pivotArea dataOnly="0" labelOnly="1" outline="0" fieldPosition="0">
        <references count="8">
          <reference field="0" count="1" selected="0">
            <x v="72"/>
          </reference>
          <reference field="4" count="1" selected="0">
            <x v="0"/>
          </reference>
          <reference field="5" count="1" selected="0">
            <x v="8"/>
          </reference>
          <reference field="8" count="1" selected="0">
            <x v="2"/>
          </reference>
          <reference field="10" count="1" selected="0">
            <x v="0"/>
          </reference>
          <reference field="11" count="1" selected="0">
            <x v="0"/>
          </reference>
          <reference field="12" count="1" selected="0">
            <x v="27"/>
          </reference>
          <reference field="13" count="1">
            <x v="6"/>
          </reference>
        </references>
      </pivotArea>
    </format>
    <format dxfId="1450">
      <pivotArea dataOnly="0" labelOnly="1" outline="0" fieldPosition="0">
        <references count="8">
          <reference field="0" count="1" selected="0">
            <x v="0"/>
          </reference>
          <reference field="4" count="1" selected="0">
            <x v="0"/>
          </reference>
          <reference field="5" count="1" selected="0">
            <x v="9"/>
          </reference>
          <reference field="8" count="1" selected="0">
            <x v="2"/>
          </reference>
          <reference field="10" count="1" selected="0">
            <x v="0"/>
          </reference>
          <reference field="11" count="1" selected="0">
            <x v="0"/>
          </reference>
          <reference field="12" count="1" selected="0">
            <x v="28"/>
          </reference>
          <reference field="13" count="1">
            <x v="32"/>
          </reference>
        </references>
      </pivotArea>
    </format>
    <format dxfId="1449">
      <pivotArea dataOnly="0" labelOnly="1" outline="0" fieldPosition="0">
        <references count="8">
          <reference field="0" count="1" selected="0">
            <x v="1"/>
          </reference>
          <reference field="4" count="1" selected="0">
            <x v="0"/>
          </reference>
          <reference field="5" count="1" selected="0">
            <x v="9"/>
          </reference>
          <reference field="8" count="1" selected="0">
            <x v="2"/>
          </reference>
          <reference field="10" count="1" selected="0">
            <x v="0"/>
          </reference>
          <reference field="11" count="1" selected="0">
            <x v="5"/>
          </reference>
          <reference field="12" count="1" selected="0">
            <x v="31"/>
          </reference>
          <reference field="13" count="1">
            <x v="14"/>
          </reference>
        </references>
      </pivotArea>
    </format>
    <format dxfId="1448">
      <pivotArea dataOnly="0" labelOnly="1" outline="0" fieldPosition="0">
        <references count="8">
          <reference field="0" count="1" selected="0">
            <x v="2"/>
          </reference>
          <reference field="4" count="1" selected="0">
            <x v="0"/>
          </reference>
          <reference field="5" count="1" selected="0">
            <x v="9"/>
          </reference>
          <reference field="8" count="1" selected="0">
            <x v="2"/>
          </reference>
          <reference field="10" count="1" selected="0">
            <x v="0"/>
          </reference>
          <reference field="11" count="1" selected="0">
            <x v="0"/>
          </reference>
          <reference field="12" count="1" selected="0">
            <x v="28"/>
          </reference>
          <reference field="13" count="1">
            <x v="32"/>
          </reference>
        </references>
      </pivotArea>
    </format>
    <format dxfId="1447">
      <pivotArea dataOnly="0" labelOnly="1" outline="0" fieldPosition="0">
        <references count="8">
          <reference field="0" count="1" selected="0">
            <x v="3"/>
          </reference>
          <reference field="4" count="1" selected="0">
            <x v="0"/>
          </reference>
          <reference field="5" count="1" selected="0">
            <x v="10"/>
          </reference>
          <reference field="8" count="1" selected="0">
            <x v="2"/>
          </reference>
          <reference field="10" count="1" selected="0">
            <x v="0"/>
          </reference>
          <reference field="11" count="1" selected="0">
            <x v="3"/>
          </reference>
          <reference field="12" count="1" selected="0">
            <x v="29"/>
          </reference>
          <reference field="13" count="1">
            <x v="30"/>
          </reference>
        </references>
      </pivotArea>
    </format>
    <format dxfId="1446">
      <pivotArea dataOnly="0" labelOnly="1" outline="0" fieldPosition="0">
        <references count="8">
          <reference field="0" count="1" selected="0">
            <x v="4"/>
          </reference>
          <reference field="4" count="1" selected="0">
            <x v="0"/>
          </reference>
          <reference field="5" count="1" selected="0">
            <x v="10"/>
          </reference>
          <reference field="8" count="1" selected="0">
            <x v="2"/>
          </reference>
          <reference field="10" count="1" selected="0">
            <x v="0"/>
          </reference>
          <reference field="11" count="1" selected="0">
            <x v="5"/>
          </reference>
          <reference field="12" count="1" selected="0">
            <x v="32"/>
          </reference>
          <reference field="13" count="1">
            <x v="23"/>
          </reference>
        </references>
      </pivotArea>
    </format>
    <format dxfId="1445">
      <pivotArea dataOnly="0" labelOnly="1" outline="0" fieldPosition="0">
        <references count="8">
          <reference field="0" count="1" selected="0">
            <x v="5"/>
          </reference>
          <reference field="4" count="1" selected="0">
            <x v="0"/>
          </reference>
          <reference field="5" count="1" selected="0">
            <x v="10"/>
          </reference>
          <reference field="8" count="1" selected="0">
            <x v="2"/>
          </reference>
          <reference field="10" count="1" selected="0">
            <x v="0"/>
          </reference>
          <reference field="11" count="1" selected="0">
            <x v="3"/>
          </reference>
          <reference field="12" count="1" selected="0">
            <x v="29"/>
          </reference>
          <reference field="13" count="1">
            <x v="30"/>
          </reference>
        </references>
      </pivotArea>
    </format>
    <format dxfId="1444">
      <pivotArea dataOnly="0" labelOnly="1" outline="0" fieldPosition="0">
        <references count="8">
          <reference field="0" count="1" selected="0">
            <x v="6"/>
          </reference>
          <reference field="4" count="1" selected="0">
            <x v="0"/>
          </reference>
          <reference field="5" count="1" selected="0">
            <x v="11"/>
          </reference>
          <reference field="8" count="1" selected="0">
            <x v="2"/>
          </reference>
          <reference field="10" count="1" selected="0">
            <x v="0"/>
          </reference>
          <reference field="11" count="1" selected="0">
            <x v="3"/>
          </reference>
          <reference field="12" count="1" selected="0">
            <x v="30"/>
          </reference>
          <reference field="13" count="1">
            <x v="29"/>
          </reference>
        </references>
      </pivotArea>
    </format>
    <format dxfId="1443">
      <pivotArea dataOnly="0" labelOnly="1" outline="0" fieldPosition="0">
        <references count="8">
          <reference field="0" count="1" selected="0">
            <x v="7"/>
          </reference>
          <reference field="4" count="1" selected="0">
            <x v="0"/>
          </reference>
          <reference field="5" count="1" selected="0">
            <x v="11"/>
          </reference>
          <reference field="8" count="1" selected="0">
            <x v="2"/>
          </reference>
          <reference field="10" count="1" selected="0">
            <x v="0"/>
          </reference>
          <reference field="11" count="1" selected="0">
            <x v="5"/>
          </reference>
          <reference field="12" count="1" selected="0">
            <x v="32"/>
          </reference>
          <reference field="13" count="1">
            <x v="23"/>
          </reference>
        </references>
      </pivotArea>
    </format>
    <format dxfId="1442">
      <pivotArea dataOnly="0" labelOnly="1" outline="0" fieldPosition="0">
        <references count="8">
          <reference field="0" count="1" selected="0">
            <x v="8"/>
          </reference>
          <reference field="4" count="1" selected="0">
            <x v="0"/>
          </reference>
          <reference field="5" count="1" selected="0">
            <x v="11"/>
          </reference>
          <reference field="8" count="1" selected="0">
            <x v="2"/>
          </reference>
          <reference field="10" count="1" selected="0">
            <x v="0"/>
          </reference>
          <reference field="11" count="1" selected="0">
            <x v="3"/>
          </reference>
          <reference field="12" count="1" selected="0">
            <x v="30"/>
          </reference>
          <reference field="13" count="1">
            <x v="29"/>
          </reference>
        </references>
      </pivotArea>
    </format>
    <format dxfId="1441">
      <pivotArea type="all" dataOnly="0" outline="0" fieldPosition="0"/>
    </format>
    <format dxfId="1440">
      <pivotArea field="5" type="button" dataOnly="0" labelOnly="1" outline="0" axis="axisRow" fieldPosition="0"/>
    </format>
    <format dxfId="1439">
      <pivotArea field="4" type="button" dataOnly="0" labelOnly="1" outline="0" axis="axisRow" fieldPosition="1"/>
    </format>
    <format dxfId="1438">
      <pivotArea field="0" type="button" dataOnly="0" labelOnly="1" outline="0" axis="axisRow" fieldPosition="2"/>
    </format>
    <format dxfId="1437">
      <pivotArea field="8" type="button" dataOnly="0" labelOnly="1" outline="0" axis="axisRow" fieldPosition="3"/>
    </format>
    <format dxfId="1436">
      <pivotArea field="10" type="button" dataOnly="0" labelOnly="1" outline="0" axis="axisRow" fieldPosition="4"/>
    </format>
    <format dxfId="1435">
      <pivotArea field="12" type="button" dataOnly="0" labelOnly="1" outline="0" axis="axisRow" fieldPosition="5"/>
    </format>
    <format dxfId="1434">
      <pivotArea field="11" type="button" dataOnly="0" labelOnly="1" outline="0" axis="axisRow" fieldPosition="6"/>
    </format>
    <format dxfId="1433">
      <pivotArea field="13" type="button" dataOnly="0" labelOnly="1" outline="0" axis="axisRow" fieldPosition="7"/>
    </format>
    <format dxfId="1432">
      <pivotArea field="28" type="button" dataOnly="0" labelOnly="1" outline="0"/>
    </format>
    <format dxfId="1431">
      <pivotArea dataOnly="0" labelOnly="1" outline="0" fieldPosition="0">
        <references count="1">
          <reference field="5" count="0"/>
        </references>
      </pivotArea>
    </format>
    <format dxfId="1430">
      <pivotArea dataOnly="0" labelOnly="1" outline="0" fieldPosition="0">
        <references count="1">
          <reference field="5" count="0" defaultSubtotal="1"/>
        </references>
      </pivotArea>
    </format>
    <format dxfId="1429">
      <pivotArea dataOnly="0" labelOnly="1" grandRow="1" outline="0" fieldPosition="0"/>
    </format>
    <format dxfId="1428">
      <pivotArea dataOnly="0" labelOnly="1" outline="0" fieldPosition="0">
        <references count="2">
          <reference field="4" count="1">
            <x v="2"/>
          </reference>
          <reference field="5" count="1" selected="0">
            <x v="0"/>
          </reference>
        </references>
      </pivotArea>
    </format>
    <format dxfId="1427">
      <pivotArea dataOnly="0" labelOnly="1" outline="0" fieldPosition="0">
        <references count="2">
          <reference field="4" count="1">
            <x v="2"/>
          </reference>
          <reference field="5" count="1" selected="0">
            <x v="1"/>
          </reference>
        </references>
      </pivotArea>
    </format>
    <format dxfId="1426">
      <pivotArea dataOnly="0" labelOnly="1" outline="0" fieldPosition="0">
        <references count="2">
          <reference field="4" count="1">
            <x v="2"/>
          </reference>
          <reference field="5" count="1" selected="0">
            <x v="2"/>
          </reference>
        </references>
      </pivotArea>
    </format>
    <format dxfId="1425">
      <pivotArea dataOnly="0" labelOnly="1" outline="0" fieldPosition="0">
        <references count="2">
          <reference field="4" count="1">
            <x v="2"/>
          </reference>
          <reference field="5" count="1" selected="0">
            <x v="3"/>
          </reference>
        </references>
      </pivotArea>
    </format>
    <format dxfId="1424">
      <pivotArea dataOnly="0" labelOnly="1" outline="0" fieldPosition="0">
        <references count="2">
          <reference field="4" count="1">
            <x v="1"/>
          </reference>
          <reference field="5" count="1" selected="0">
            <x v="4"/>
          </reference>
        </references>
      </pivotArea>
    </format>
    <format dxfId="1423">
      <pivotArea dataOnly="0" labelOnly="1" outline="0" fieldPosition="0">
        <references count="2">
          <reference field="4" count="1">
            <x v="1"/>
          </reference>
          <reference field="5" count="1" selected="0">
            <x v="5"/>
          </reference>
        </references>
      </pivotArea>
    </format>
    <format dxfId="1422">
      <pivotArea dataOnly="0" labelOnly="1" outline="0" fieldPosition="0">
        <references count="2">
          <reference field="4" count="1">
            <x v="1"/>
          </reference>
          <reference field="5" count="1" selected="0">
            <x v="6"/>
          </reference>
        </references>
      </pivotArea>
    </format>
    <format dxfId="1421">
      <pivotArea dataOnly="0" labelOnly="1" outline="0" fieldPosition="0">
        <references count="2">
          <reference field="4" count="1">
            <x v="0"/>
          </reference>
          <reference field="5" count="1" selected="0">
            <x v="7"/>
          </reference>
        </references>
      </pivotArea>
    </format>
    <format dxfId="1420">
      <pivotArea dataOnly="0" labelOnly="1" outline="0" fieldPosition="0">
        <references count="2">
          <reference field="4" count="1">
            <x v="0"/>
          </reference>
          <reference field="5" count="1" selected="0">
            <x v="8"/>
          </reference>
        </references>
      </pivotArea>
    </format>
    <format dxfId="1419">
      <pivotArea dataOnly="0" labelOnly="1" outline="0" fieldPosition="0">
        <references count="2">
          <reference field="4" count="1">
            <x v="0"/>
          </reference>
          <reference field="5" count="1" selected="0">
            <x v="9"/>
          </reference>
        </references>
      </pivotArea>
    </format>
    <format dxfId="1418">
      <pivotArea dataOnly="0" labelOnly="1" outline="0" fieldPosition="0">
        <references count="2">
          <reference field="4" count="1">
            <x v="0"/>
          </reference>
          <reference field="5" count="1" selected="0">
            <x v="10"/>
          </reference>
        </references>
      </pivotArea>
    </format>
    <format dxfId="1417">
      <pivotArea dataOnly="0" labelOnly="1" outline="0" fieldPosition="0">
        <references count="2">
          <reference field="4" count="1">
            <x v="0"/>
          </reference>
          <reference field="5" count="1" selected="0">
            <x v="11"/>
          </reference>
        </references>
      </pivotArea>
    </format>
    <format dxfId="1416">
      <pivotArea dataOnly="0" labelOnly="1" outline="0" fieldPosition="0">
        <references count="3">
          <reference field="0" count="6">
            <x v="9"/>
            <x v="10"/>
            <x v="11"/>
            <x v="12"/>
            <x v="13"/>
            <x v="14"/>
          </reference>
          <reference field="4" count="1" selected="0">
            <x v="2"/>
          </reference>
          <reference field="5" count="1" selected="0">
            <x v="0"/>
          </reference>
        </references>
      </pivotArea>
    </format>
    <format dxfId="1415">
      <pivotArea dataOnly="0" labelOnly="1" outline="0" fieldPosition="0">
        <references count="3">
          <reference field="0" count="6">
            <x v="15"/>
            <x v="16"/>
            <x v="17"/>
            <x v="18"/>
            <x v="19"/>
            <x v="20"/>
          </reference>
          <reference field="4" count="1" selected="0">
            <x v="2"/>
          </reference>
          <reference field="5" count="1" selected="0">
            <x v="1"/>
          </reference>
        </references>
      </pivotArea>
    </format>
    <format dxfId="1414">
      <pivotArea dataOnly="0" labelOnly="1" outline="0" fieldPosition="0">
        <references count="3">
          <reference field="0" count="6">
            <x v="21"/>
            <x v="22"/>
            <x v="23"/>
            <x v="24"/>
            <x v="25"/>
            <x v="26"/>
          </reference>
          <reference field="4" count="1" selected="0">
            <x v="2"/>
          </reference>
          <reference field="5" count="1" selected="0">
            <x v="2"/>
          </reference>
        </references>
      </pivotArea>
    </format>
    <format dxfId="1413">
      <pivotArea dataOnly="0" labelOnly="1" outline="0" fieldPosition="0">
        <references count="3">
          <reference field="0" count="6">
            <x v="27"/>
            <x v="28"/>
            <x v="29"/>
            <x v="30"/>
            <x v="31"/>
            <x v="32"/>
          </reference>
          <reference field="4" count="1" selected="0">
            <x v="2"/>
          </reference>
          <reference field="5" count="1" selected="0">
            <x v="3"/>
          </reference>
        </references>
      </pivotArea>
    </format>
    <format dxfId="1412">
      <pivotArea dataOnly="0" labelOnly="1" outline="0" fieldPosition="0">
        <references count="3">
          <reference field="0" count="6">
            <x v="33"/>
            <x v="34"/>
            <x v="35"/>
            <x v="36"/>
            <x v="37"/>
            <x v="38"/>
          </reference>
          <reference field="4" count="1" selected="0">
            <x v="1"/>
          </reference>
          <reference field="5" count="1" selected="0">
            <x v="4"/>
          </reference>
        </references>
      </pivotArea>
    </format>
    <format dxfId="1411">
      <pivotArea dataOnly="0" labelOnly="1" outline="0" fieldPosition="0">
        <references count="3">
          <reference field="0" count="6">
            <x v="39"/>
            <x v="40"/>
            <x v="43"/>
            <x v="44"/>
            <x v="49"/>
            <x v="50"/>
          </reference>
          <reference field="4" count="1" selected="0">
            <x v="1"/>
          </reference>
          <reference field="5" count="1" selected="0">
            <x v="5"/>
          </reference>
        </references>
      </pivotArea>
    </format>
    <format dxfId="1410">
      <pivotArea dataOnly="0" labelOnly="1" outline="0" fieldPosition="0">
        <references count="3">
          <reference field="0" count="6">
            <x v="52"/>
            <x v="53"/>
            <x v="58"/>
            <x v="59"/>
            <x v="64"/>
            <x v="65"/>
          </reference>
          <reference field="4" count="1" selected="0">
            <x v="1"/>
          </reference>
          <reference field="5" count="1" selected="0">
            <x v="6"/>
          </reference>
        </references>
      </pivotArea>
    </format>
    <format dxfId="1409">
      <pivotArea dataOnly="0" labelOnly="1" outline="0" fieldPosition="0">
        <references count="3">
          <reference field="0" count="3">
            <x v="67"/>
            <x v="68"/>
            <x v="69"/>
          </reference>
          <reference field="4" count="1" selected="0">
            <x v="0"/>
          </reference>
          <reference field="5" count="1" selected="0">
            <x v="7"/>
          </reference>
        </references>
      </pivotArea>
    </format>
    <format dxfId="1408">
      <pivotArea dataOnly="0" labelOnly="1" outline="0" fieldPosition="0">
        <references count="3">
          <reference field="0" count="3">
            <x v="70"/>
            <x v="71"/>
            <x v="72"/>
          </reference>
          <reference field="4" count="1" selected="0">
            <x v="0"/>
          </reference>
          <reference field="5" count="1" selected="0">
            <x v="8"/>
          </reference>
        </references>
      </pivotArea>
    </format>
    <format dxfId="1407">
      <pivotArea dataOnly="0" labelOnly="1" outline="0" fieldPosition="0">
        <references count="3">
          <reference field="0" count="3">
            <x v="0"/>
            <x v="1"/>
            <x v="2"/>
          </reference>
          <reference field="4" count="1" selected="0">
            <x v="0"/>
          </reference>
          <reference field="5" count="1" selected="0">
            <x v="9"/>
          </reference>
        </references>
      </pivotArea>
    </format>
    <format dxfId="1406">
      <pivotArea dataOnly="0" labelOnly="1" outline="0" fieldPosition="0">
        <references count="3">
          <reference field="0" count="3">
            <x v="3"/>
            <x v="4"/>
            <x v="5"/>
          </reference>
          <reference field="4" count="1" selected="0">
            <x v="0"/>
          </reference>
          <reference field="5" count="1" selected="0">
            <x v="10"/>
          </reference>
        </references>
      </pivotArea>
    </format>
    <format dxfId="1405">
      <pivotArea dataOnly="0" labelOnly="1" outline="0" fieldPosition="0">
        <references count="3">
          <reference field="0" count="3">
            <x v="6"/>
            <x v="7"/>
            <x v="8"/>
          </reference>
          <reference field="4" count="1" selected="0">
            <x v="0"/>
          </reference>
          <reference field="5" count="1" selected="0">
            <x v="11"/>
          </reference>
        </references>
      </pivotArea>
    </format>
    <format dxfId="1404">
      <pivotArea dataOnly="0" labelOnly="1" outline="0" fieldPosition="0">
        <references count="4">
          <reference field="0" count="1" selected="0">
            <x v="9"/>
          </reference>
          <reference field="4" count="1" selected="0">
            <x v="2"/>
          </reference>
          <reference field="5" count="1" selected="0">
            <x v="0"/>
          </reference>
          <reference field="8" count="1">
            <x v="6"/>
          </reference>
        </references>
      </pivotArea>
    </format>
    <format dxfId="1403">
      <pivotArea dataOnly="0" labelOnly="1" outline="0" fieldPosition="0">
        <references count="4">
          <reference field="0" count="1" selected="0">
            <x v="11"/>
          </reference>
          <reference field="4" count="1" selected="0">
            <x v="2"/>
          </reference>
          <reference field="5" count="1" selected="0">
            <x v="0"/>
          </reference>
          <reference field="8" count="1">
            <x v="3"/>
          </reference>
        </references>
      </pivotArea>
    </format>
    <format dxfId="1402">
      <pivotArea dataOnly="0" labelOnly="1" outline="0" fieldPosition="0">
        <references count="4">
          <reference field="0" count="1" selected="0">
            <x v="12"/>
          </reference>
          <reference field="4" count="1" selected="0">
            <x v="2"/>
          </reference>
          <reference field="5" count="1" selected="0">
            <x v="0"/>
          </reference>
          <reference field="8" count="1">
            <x v="7"/>
          </reference>
        </references>
      </pivotArea>
    </format>
    <format dxfId="1401">
      <pivotArea dataOnly="0" labelOnly="1" outline="0" fieldPosition="0">
        <references count="4">
          <reference field="0" count="1" selected="0">
            <x v="14"/>
          </reference>
          <reference field="4" count="1" selected="0">
            <x v="2"/>
          </reference>
          <reference field="5" count="1" selected="0">
            <x v="0"/>
          </reference>
          <reference field="8" count="1">
            <x v="5"/>
          </reference>
        </references>
      </pivotArea>
    </format>
    <format dxfId="1400">
      <pivotArea dataOnly="0" labelOnly="1" outline="0" fieldPosition="0">
        <references count="4">
          <reference field="0" count="1" selected="0">
            <x v="15"/>
          </reference>
          <reference field="4" count="1" selected="0">
            <x v="2"/>
          </reference>
          <reference field="5" count="1" selected="0">
            <x v="1"/>
          </reference>
          <reference field="8" count="1">
            <x v="1"/>
          </reference>
        </references>
      </pivotArea>
    </format>
    <format dxfId="1399">
      <pivotArea dataOnly="0" labelOnly="1" outline="0" fieldPosition="0">
        <references count="4">
          <reference field="0" count="1" selected="0">
            <x v="21"/>
          </reference>
          <reference field="4" count="1" selected="0">
            <x v="2"/>
          </reference>
          <reference field="5" count="1" selected="0">
            <x v="2"/>
          </reference>
          <reference field="8" count="1">
            <x v="6"/>
          </reference>
        </references>
      </pivotArea>
    </format>
    <format dxfId="1398">
      <pivotArea dataOnly="0" labelOnly="1" outline="0" fieldPosition="0">
        <references count="4">
          <reference field="0" count="1" selected="0">
            <x v="23"/>
          </reference>
          <reference field="4" count="1" selected="0">
            <x v="2"/>
          </reference>
          <reference field="5" count="1" selected="0">
            <x v="2"/>
          </reference>
          <reference field="8" count="1">
            <x v="3"/>
          </reference>
        </references>
      </pivotArea>
    </format>
    <format dxfId="1397">
      <pivotArea dataOnly="0" labelOnly="1" outline="0" fieldPosition="0">
        <references count="4">
          <reference field="0" count="1" selected="0">
            <x v="24"/>
          </reference>
          <reference field="4" count="1" selected="0">
            <x v="2"/>
          </reference>
          <reference field="5" count="1" selected="0">
            <x v="2"/>
          </reference>
          <reference field="8" count="1">
            <x v="7"/>
          </reference>
        </references>
      </pivotArea>
    </format>
    <format dxfId="1396">
      <pivotArea dataOnly="0" labelOnly="1" outline="0" fieldPosition="0">
        <references count="4">
          <reference field="0" count="1" selected="0">
            <x v="26"/>
          </reference>
          <reference field="4" count="1" selected="0">
            <x v="2"/>
          </reference>
          <reference field="5" count="1" selected="0">
            <x v="2"/>
          </reference>
          <reference field="8" count="1">
            <x v="5"/>
          </reference>
        </references>
      </pivotArea>
    </format>
    <format dxfId="1395">
      <pivotArea dataOnly="0" labelOnly="1" outline="0" fieldPosition="0">
        <references count="4">
          <reference field="0" count="1" selected="0">
            <x v="27"/>
          </reference>
          <reference field="4" count="1" selected="0">
            <x v="2"/>
          </reference>
          <reference field="5" count="1" selected="0">
            <x v="3"/>
          </reference>
          <reference field="8" count="1">
            <x v="7"/>
          </reference>
        </references>
      </pivotArea>
    </format>
    <format dxfId="1394">
      <pivotArea dataOnly="0" labelOnly="1" outline="0" fieldPosition="0">
        <references count="4">
          <reference field="0" count="1" selected="0">
            <x v="29"/>
          </reference>
          <reference field="4" count="1" selected="0">
            <x v="2"/>
          </reference>
          <reference field="5" count="1" selected="0">
            <x v="3"/>
          </reference>
          <reference field="8" count="1">
            <x v="3"/>
          </reference>
        </references>
      </pivotArea>
    </format>
    <format dxfId="1393">
      <pivotArea dataOnly="0" labelOnly="1" outline="0" fieldPosition="0">
        <references count="4">
          <reference field="0" count="1" selected="0">
            <x v="30"/>
          </reference>
          <reference field="4" count="1" selected="0">
            <x v="2"/>
          </reference>
          <reference field="5" count="1" selected="0">
            <x v="3"/>
          </reference>
          <reference field="8" count="1">
            <x v="4"/>
          </reference>
        </references>
      </pivotArea>
    </format>
    <format dxfId="1392">
      <pivotArea dataOnly="0" labelOnly="1" outline="0" fieldPosition="0">
        <references count="4">
          <reference field="0" count="1" selected="0">
            <x v="31"/>
          </reference>
          <reference field="4" count="1" selected="0">
            <x v="2"/>
          </reference>
          <reference field="5" count="1" selected="0">
            <x v="3"/>
          </reference>
          <reference field="8" count="1">
            <x v="0"/>
          </reference>
        </references>
      </pivotArea>
    </format>
    <format dxfId="1391">
      <pivotArea dataOnly="0" labelOnly="1" outline="0" fieldPosition="0">
        <references count="4">
          <reference field="0" count="1" selected="0">
            <x v="33"/>
          </reference>
          <reference field="4" count="1" selected="0">
            <x v="1"/>
          </reference>
          <reference field="5" count="1" selected="0">
            <x v="4"/>
          </reference>
          <reference field="8" count="1">
            <x v="5"/>
          </reference>
        </references>
      </pivotArea>
    </format>
    <format dxfId="1390">
      <pivotArea dataOnly="0" labelOnly="1" outline="0" fieldPosition="0">
        <references count="4">
          <reference field="0" count="1" selected="0">
            <x v="35"/>
          </reference>
          <reference field="4" count="1" selected="0">
            <x v="1"/>
          </reference>
          <reference field="5" count="1" selected="0">
            <x v="4"/>
          </reference>
          <reference field="8" count="1">
            <x v="3"/>
          </reference>
        </references>
      </pivotArea>
    </format>
    <format dxfId="1389">
      <pivotArea dataOnly="0" labelOnly="1" outline="0" fieldPosition="0">
        <references count="4">
          <reference field="0" count="1" selected="0">
            <x v="37"/>
          </reference>
          <reference field="4" count="1" selected="0">
            <x v="1"/>
          </reference>
          <reference field="5" count="1" selected="0">
            <x v="4"/>
          </reference>
          <reference field="8" count="1">
            <x v="5"/>
          </reference>
        </references>
      </pivotArea>
    </format>
    <format dxfId="1388">
      <pivotArea dataOnly="0" labelOnly="1" outline="0" fieldPosition="0">
        <references count="4">
          <reference field="0" count="1" selected="0">
            <x v="38"/>
          </reference>
          <reference field="4" count="1" selected="0">
            <x v="1"/>
          </reference>
          <reference field="5" count="1" selected="0">
            <x v="4"/>
          </reference>
          <reference field="8" count="1">
            <x v="4"/>
          </reference>
        </references>
      </pivotArea>
    </format>
    <format dxfId="1387">
      <pivotArea dataOnly="0" labelOnly="1" outline="0" fieldPosition="0">
        <references count="4">
          <reference field="0" count="1" selected="0">
            <x v="39"/>
          </reference>
          <reference field="4" count="1" selected="0">
            <x v="1"/>
          </reference>
          <reference field="5" count="1" selected="0">
            <x v="5"/>
          </reference>
          <reference field="8" count="1">
            <x v="6"/>
          </reference>
        </references>
      </pivotArea>
    </format>
    <format dxfId="1386">
      <pivotArea dataOnly="0" labelOnly="1" outline="0" fieldPosition="0">
        <references count="4">
          <reference field="0" count="1" selected="0">
            <x v="40"/>
          </reference>
          <reference field="4" count="1" selected="0">
            <x v="1"/>
          </reference>
          <reference field="5" count="1" selected="0">
            <x v="5"/>
          </reference>
          <reference field="8" count="1">
            <x v="3"/>
          </reference>
        </references>
      </pivotArea>
    </format>
    <format dxfId="1385">
      <pivotArea dataOnly="0" labelOnly="1" outline="0" fieldPosition="0">
        <references count="4">
          <reference field="0" count="1" selected="0">
            <x v="49"/>
          </reference>
          <reference field="4" count="1" selected="0">
            <x v="1"/>
          </reference>
          <reference field="5" count="1" selected="0">
            <x v="5"/>
          </reference>
          <reference field="8" count="1">
            <x v="7"/>
          </reference>
        </references>
      </pivotArea>
    </format>
    <format dxfId="1384">
      <pivotArea dataOnly="0" labelOnly="1" outline="0" fieldPosition="0">
        <references count="4">
          <reference field="0" count="1" selected="0">
            <x v="50"/>
          </reference>
          <reference field="4" count="1" selected="0">
            <x v="1"/>
          </reference>
          <reference field="5" count="1" selected="0">
            <x v="5"/>
          </reference>
          <reference field="8" count="1">
            <x v="6"/>
          </reference>
        </references>
      </pivotArea>
    </format>
    <format dxfId="1383">
      <pivotArea dataOnly="0" labelOnly="1" outline="0" fieldPosition="0">
        <references count="4">
          <reference field="0" count="1" selected="0">
            <x v="52"/>
          </reference>
          <reference field="4" count="1" selected="0">
            <x v="1"/>
          </reference>
          <reference field="5" count="1" selected="0">
            <x v="6"/>
          </reference>
          <reference field="8" count="1">
            <x v="3"/>
          </reference>
        </references>
      </pivotArea>
    </format>
    <format dxfId="1382">
      <pivotArea dataOnly="0" labelOnly="1" outline="0" fieldPosition="0">
        <references count="4">
          <reference field="0" count="1" selected="0">
            <x v="53"/>
          </reference>
          <reference field="4" count="1" selected="0">
            <x v="1"/>
          </reference>
          <reference field="5" count="1" selected="0">
            <x v="6"/>
          </reference>
          <reference field="8" count="1">
            <x v="6"/>
          </reference>
        </references>
      </pivotArea>
    </format>
    <format dxfId="1381">
      <pivotArea dataOnly="0" labelOnly="1" outline="0" fieldPosition="0">
        <references count="4">
          <reference field="0" count="1" selected="0">
            <x v="58"/>
          </reference>
          <reference field="4" count="1" selected="0">
            <x v="1"/>
          </reference>
          <reference field="5" count="1" selected="0">
            <x v="6"/>
          </reference>
          <reference field="8" count="1">
            <x v="3"/>
          </reference>
        </references>
      </pivotArea>
    </format>
    <format dxfId="1380">
      <pivotArea dataOnly="0" labelOnly="1" outline="0" fieldPosition="0">
        <references count="4">
          <reference field="0" count="1" selected="0">
            <x v="64"/>
          </reference>
          <reference field="4" count="1" selected="0">
            <x v="1"/>
          </reference>
          <reference field="5" count="1" selected="0">
            <x v="6"/>
          </reference>
          <reference field="8" count="1">
            <x v="6"/>
          </reference>
        </references>
      </pivotArea>
    </format>
    <format dxfId="1379">
      <pivotArea dataOnly="0" labelOnly="1" outline="0" fieldPosition="0">
        <references count="4">
          <reference field="0" count="1" selected="0">
            <x v="65"/>
          </reference>
          <reference field="4" count="1" selected="0">
            <x v="1"/>
          </reference>
          <reference field="5" count="1" selected="0">
            <x v="6"/>
          </reference>
          <reference field="8" count="1">
            <x v="7"/>
          </reference>
        </references>
      </pivotArea>
    </format>
    <format dxfId="1378">
      <pivotArea dataOnly="0" labelOnly="1" outline="0" fieldPosition="0">
        <references count="4">
          <reference field="0" count="1" selected="0">
            <x v="67"/>
          </reference>
          <reference field="4" count="1" selected="0">
            <x v="0"/>
          </reference>
          <reference field="5" count="1" selected="0">
            <x v="7"/>
          </reference>
          <reference field="8" count="1">
            <x v="2"/>
          </reference>
        </references>
      </pivotArea>
    </format>
    <format dxfId="1377">
      <pivotArea dataOnly="0" labelOnly="1" outline="0" fieldPosition="0">
        <references count="4">
          <reference field="0" count="1" selected="0">
            <x v="70"/>
          </reference>
          <reference field="4" count="1" selected="0">
            <x v="0"/>
          </reference>
          <reference field="5" count="1" selected="0">
            <x v="8"/>
          </reference>
          <reference field="8" count="1">
            <x v="2"/>
          </reference>
        </references>
      </pivotArea>
    </format>
    <format dxfId="1376">
      <pivotArea dataOnly="0" labelOnly="1" outline="0" fieldPosition="0">
        <references count="4">
          <reference field="0" count="1" selected="0">
            <x v="0"/>
          </reference>
          <reference field="4" count="1" selected="0">
            <x v="0"/>
          </reference>
          <reference field="5" count="1" selected="0">
            <x v="9"/>
          </reference>
          <reference field="8" count="1">
            <x v="2"/>
          </reference>
        </references>
      </pivotArea>
    </format>
    <format dxfId="1375">
      <pivotArea dataOnly="0" labelOnly="1" outline="0" fieldPosition="0">
        <references count="4">
          <reference field="0" count="1" selected="0">
            <x v="3"/>
          </reference>
          <reference field="4" count="1" selected="0">
            <x v="0"/>
          </reference>
          <reference field="5" count="1" selected="0">
            <x v="10"/>
          </reference>
          <reference field="8" count="1">
            <x v="2"/>
          </reference>
        </references>
      </pivotArea>
    </format>
    <format dxfId="1374">
      <pivotArea dataOnly="0" labelOnly="1" outline="0" fieldPosition="0">
        <references count="4">
          <reference field="0" count="1" selected="0">
            <x v="6"/>
          </reference>
          <reference field="4" count="1" selected="0">
            <x v="0"/>
          </reference>
          <reference field="5" count="1" selected="0">
            <x v="11"/>
          </reference>
          <reference field="8" count="1">
            <x v="2"/>
          </reference>
        </references>
      </pivotArea>
    </format>
    <format dxfId="1373">
      <pivotArea dataOnly="0" labelOnly="1" outline="0" fieldPosition="0">
        <references count="5">
          <reference field="0" count="1" selected="0">
            <x v="9"/>
          </reference>
          <reference field="4" count="1" selected="0">
            <x v="2"/>
          </reference>
          <reference field="5" count="1" selected="0">
            <x v="0"/>
          </reference>
          <reference field="8" count="1" selected="0">
            <x v="6"/>
          </reference>
          <reference field="10" count="1">
            <x v="0"/>
          </reference>
        </references>
      </pivotArea>
    </format>
    <format dxfId="1372">
      <pivotArea dataOnly="0" labelOnly="1" outline="0" fieldPosition="0">
        <references count="5">
          <reference field="0" count="1" selected="0">
            <x v="14"/>
          </reference>
          <reference field="4" count="1" selected="0">
            <x v="2"/>
          </reference>
          <reference field="5" count="1" selected="0">
            <x v="0"/>
          </reference>
          <reference field="8" count="1" selected="0">
            <x v="5"/>
          </reference>
          <reference field="10" count="1">
            <x v="2"/>
          </reference>
        </references>
      </pivotArea>
    </format>
    <format dxfId="1371">
      <pivotArea dataOnly="0" labelOnly="1" outline="0" fieldPosition="0">
        <references count="5">
          <reference field="0" count="1" selected="0">
            <x v="15"/>
          </reference>
          <reference field="4" count="1" selected="0">
            <x v="2"/>
          </reference>
          <reference field="5" count="1" selected="0">
            <x v="1"/>
          </reference>
          <reference field="8" count="1" selected="0">
            <x v="1"/>
          </reference>
          <reference field="10" count="1">
            <x v="0"/>
          </reference>
        </references>
      </pivotArea>
    </format>
    <format dxfId="1370">
      <pivotArea dataOnly="0" labelOnly="1" outline="0" fieldPosition="0">
        <references count="5">
          <reference field="0" count="1" selected="0">
            <x v="16"/>
          </reference>
          <reference field="4" count="1" selected="0">
            <x v="2"/>
          </reference>
          <reference field="5" count="1" selected="0">
            <x v="1"/>
          </reference>
          <reference field="8" count="1" selected="0">
            <x v="1"/>
          </reference>
          <reference field="10" count="1">
            <x v="1"/>
          </reference>
        </references>
      </pivotArea>
    </format>
    <format dxfId="1369">
      <pivotArea dataOnly="0" labelOnly="1" outline="0" fieldPosition="0">
        <references count="5">
          <reference field="0" count="1" selected="0">
            <x v="17"/>
          </reference>
          <reference field="4" count="1" selected="0">
            <x v="2"/>
          </reference>
          <reference field="5" count="1" selected="0">
            <x v="1"/>
          </reference>
          <reference field="8" count="1" selected="0">
            <x v="1"/>
          </reference>
          <reference field="10" count="1">
            <x v="0"/>
          </reference>
        </references>
      </pivotArea>
    </format>
    <format dxfId="1368">
      <pivotArea dataOnly="0" labelOnly="1" outline="0" fieldPosition="0">
        <references count="5">
          <reference field="0" count="1" selected="0">
            <x v="18"/>
          </reference>
          <reference field="4" count="1" selected="0">
            <x v="2"/>
          </reference>
          <reference field="5" count="1" selected="0">
            <x v="1"/>
          </reference>
          <reference field="8" count="1" selected="0">
            <x v="1"/>
          </reference>
          <reference field="10" count="1">
            <x v="1"/>
          </reference>
        </references>
      </pivotArea>
    </format>
    <format dxfId="1367">
      <pivotArea dataOnly="0" labelOnly="1" outline="0" fieldPosition="0">
        <references count="5">
          <reference field="0" count="1" selected="0">
            <x v="19"/>
          </reference>
          <reference field="4" count="1" selected="0">
            <x v="2"/>
          </reference>
          <reference field="5" count="1" selected="0">
            <x v="1"/>
          </reference>
          <reference field="8" count="1" selected="0">
            <x v="1"/>
          </reference>
          <reference field="10" count="1">
            <x v="0"/>
          </reference>
        </references>
      </pivotArea>
    </format>
    <format dxfId="1366">
      <pivotArea dataOnly="0" labelOnly="1" outline="0" fieldPosition="0">
        <references count="5">
          <reference field="0" count="1" selected="0">
            <x v="20"/>
          </reference>
          <reference field="4" count="1" selected="0">
            <x v="2"/>
          </reference>
          <reference field="5" count="1" selected="0">
            <x v="1"/>
          </reference>
          <reference field="8" count="1" selected="0">
            <x v="1"/>
          </reference>
          <reference field="10" count="1">
            <x v="1"/>
          </reference>
        </references>
      </pivotArea>
    </format>
    <format dxfId="1365">
      <pivotArea dataOnly="0" labelOnly="1" outline="0" fieldPosition="0">
        <references count="5">
          <reference field="0" count="1" selected="0">
            <x v="21"/>
          </reference>
          <reference field="4" count="1" selected="0">
            <x v="2"/>
          </reference>
          <reference field="5" count="1" selected="0">
            <x v="2"/>
          </reference>
          <reference field="8" count="1" selected="0">
            <x v="6"/>
          </reference>
          <reference field="10" count="1">
            <x v="0"/>
          </reference>
        </references>
      </pivotArea>
    </format>
    <format dxfId="1364">
      <pivotArea dataOnly="0" labelOnly="1" outline="0" fieldPosition="0">
        <references count="5">
          <reference field="0" count="1" selected="0">
            <x v="26"/>
          </reference>
          <reference field="4" count="1" selected="0">
            <x v="2"/>
          </reference>
          <reference field="5" count="1" selected="0">
            <x v="2"/>
          </reference>
          <reference field="8" count="1" selected="0">
            <x v="5"/>
          </reference>
          <reference field="10" count="1">
            <x v="2"/>
          </reference>
        </references>
      </pivotArea>
    </format>
    <format dxfId="1363">
      <pivotArea dataOnly="0" labelOnly="1" outline="0" fieldPosition="0">
        <references count="5">
          <reference field="0" count="1" selected="0">
            <x v="27"/>
          </reference>
          <reference field="4" count="1" selected="0">
            <x v="2"/>
          </reference>
          <reference field="5" count="1" selected="0">
            <x v="3"/>
          </reference>
          <reference field="8" count="1" selected="0">
            <x v="7"/>
          </reference>
          <reference field="10" count="1">
            <x v="0"/>
          </reference>
        </references>
      </pivotArea>
    </format>
    <format dxfId="1362">
      <pivotArea dataOnly="0" labelOnly="1" outline="0" fieldPosition="0">
        <references count="5">
          <reference field="0" count="1" selected="0">
            <x v="30"/>
          </reference>
          <reference field="4" count="1" selected="0">
            <x v="2"/>
          </reference>
          <reference field="5" count="1" selected="0">
            <x v="3"/>
          </reference>
          <reference field="8" count="1" selected="0">
            <x v="4"/>
          </reference>
          <reference field="10" count="1">
            <x v="1"/>
          </reference>
        </references>
      </pivotArea>
    </format>
    <format dxfId="1361">
      <pivotArea dataOnly="0" labelOnly="1" outline="0" fieldPosition="0">
        <references count="5">
          <reference field="0" count="1" selected="0">
            <x v="31"/>
          </reference>
          <reference field="4" count="1" selected="0">
            <x v="2"/>
          </reference>
          <reference field="5" count="1" selected="0">
            <x v="3"/>
          </reference>
          <reference field="8" count="1" selected="0">
            <x v="0"/>
          </reference>
          <reference field="10" count="1">
            <x v="0"/>
          </reference>
        </references>
      </pivotArea>
    </format>
    <format dxfId="1360">
      <pivotArea dataOnly="0" labelOnly="1" outline="0" fieldPosition="0">
        <references count="5">
          <reference field="0" count="1" selected="0">
            <x v="33"/>
          </reference>
          <reference field="4" count="1" selected="0">
            <x v="1"/>
          </reference>
          <reference field="5" count="1" selected="0">
            <x v="4"/>
          </reference>
          <reference field="8" count="1" selected="0">
            <x v="5"/>
          </reference>
          <reference field="10" count="1">
            <x v="2"/>
          </reference>
        </references>
      </pivotArea>
    </format>
    <format dxfId="1359">
      <pivotArea dataOnly="0" labelOnly="1" outline="0" fieldPosition="0">
        <references count="5">
          <reference field="0" count="1" selected="0">
            <x v="35"/>
          </reference>
          <reference field="4" count="1" selected="0">
            <x v="1"/>
          </reference>
          <reference field="5" count="1" selected="0">
            <x v="4"/>
          </reference>
          <reference field="8" count="1" selected="0">
            <x v="3"/>
          </reference>
          <reference field="10" count="1">
            <x v="1"/>
          </reference>
        </references>
      </pivotArea>
    </format>
    <format dxfId="1358">
      <pivotArea dataOnly="0" labelOnly="1" outline="0" fieldPosition="0">
        <references count="5">
          <reference field="0" count="1" selected="0">
            <x v="37"/>
          </reference>
          <reference field="4" count="1" selected="0">
            <x v="1"/>
          </reference>
          <reference field="5" count="1" selected="0">
            <x v="4"/>
          </reference>
          <reference field="8" count="1" selected="0">
            <x v="5"/>
          </reference>
          <reference field="10" count="1">
            <x v="2"/>
          </reference>
        </references>
      </pivotArea>
    </format>
    <format dxfId="1357">
      <pivotArea dataOnly="0" labelOnly="1" outline="0" fieldPosition="0">
        <references count="5">
          <reference field="0" count="1" selected="0">
            <x v="38"/>
          </reference>
          <reference field="4" count="1" selected="0">
            <x v="1"/>
          </reference>
          <reference field="5" count="1" selected="0">
            <x v="4"/>
          </reference>
          <reference field="8" count="1" selected="0">
            <x v="4"/>
          </reference>
          <reference field="10" count="1">
            <x v="1"/>
          </reference>
        </references>
      </pivotArea>
    </format>
    <format dxfId="1356">
      <pivotArea dataOnly="0" labelOnly="1" outline="0" fieldPosition="0">
        <references count="5">
          <reference field="0" count="1" selected="0">
            <x v="39"/>
          </reference>
          <reference field="4" count="1" selected="0">
            <x v="1"/>
          </reference>
          <reference field="5" count="1" selected="0">
            <x v="5"/>
          </reference>
          <reference field="8" count="1" selected="0">
            <x v="6"/>
          </reference>
          <reference field="10" count="1">
            <x v="0"/>
          </reference>
        </references>
      </pivotArea>
    </format>
    <format dxfId="1355">
      <pivotArea dataOnly="0" labelOnly="1" outline="0" fieldPosition="0">
        <references count="5">
          <reference field="0" count="1" selected="0">
            <x v="52"/>
          </reference>
          <reference field="4" count="1" selected="0">
            <x v="1"/>
          </reference>
          <reference field="5" count="1" selected="0">
            <x v="6"/>
          </reference>
          <reference field="8" count="1" selected="0">
            <x v="3"/>
          </reference>
          <reference field="10" count="1">
            <x v="0"/>
          </reference>
        </references>
      </pivotArea>
    </format>
    <format dxfId="1354">
      <pivotArea dataOnly="0" labelOnly="1" outline="0" fieldPosition="0">
        <references count="5">
          <reference field="0" count="1" selected="0">
            <x v="67"/>
          </reference>
          <reference field="4" count="1" selected="0">
            <x v="0"/>
          </reference>
          <reference field="5" count="1" selected="0">
            <x v="7"/>
          </reference>
          <reference field="8" count="1" selected="0">
            <x v="2"/>
          </reference>
          <reference field="10" count="1">
            <x v="0"/>
          </reference>
        </references>
      </pivotArea>
    </format>
    <format dxfId="1353">
      <pivotArea dataOnly="0" labelOnly="1" outline="0" fieldPosition="0">
        <references count="5">
          <reference field="0" count="1" selected="0">
            <x v="70"/>
          </reference>
          <reference field="4" count="1" selected="0">
            <x v="0"/>
          </reference>
          <reference field="5" count="1" selected="0">
            <x v="8"/>
          </reference>
          <reference field="8" count="1" selected="0">
            <x v="2"/>
          </reference>
          <reference field="10" count="1">
            <x v="0"/>
          </reference>
        </references>
      </pivotArea>
    </format>
    <format dxfId="1352">
      <pivotArea dataOnly="0" labelOnly="1" outline="0" fieldPosition="0">
        <references count="5">
          <reference field="0" count="1" selected="0">
            <x v="0"/>
          </reference>
          <reference field="4" count="1" selected="0">
            <x v="0"/>
          </reference>
          <reference field="5" count="1" selected="0">
            <x v="9"/>
          </reference>
          <reference field="8" count="1" selected="0">
            <x v="2"/>
          </reference>
          <reference field="10" count="1">
            <x v="0"/>
          </reference>
        </references>
      </pivotArea>
    </format>
    <format dxfId="1351">
      <pivotArea dataOnly="0" labelOnly="1" outline="0" fieldPosition="0">
        <references count="5">
          <reference field="0" count="1" selected="0">
            <x v="3"/>
          </reference>
          <reference field="4" count="1" selected="0">
            <x v="0"/>
          </reference>
          <reference field="5" count="1" selected="0">
            <x v="10"/>
          </reference>
          <reference field="8" count="1" selected="0">
            <x v="2"/>
          </reference>
          <reference field="10" count="1">
            <x v="0"/>
          </reference>
        </references>
      </pivotArea>
    </format>
    <format dxfId="1350">
      <pivotArea dataOnly="0" labelOnly="1" outline="0" fieldPosition="0">
        <references count="5">
          <reference field="0" count="1" selected="0">
            <x v="6"/>
          </reference>
          <reference field="4" count="1" selected="0">
            <x v="0"/>
          </reference>
          <reference field="5" count="1" selected="0">
            <x v="11"/>
          </reference>
          <reference field="8" count="1" selected="0">
            <x v="2"/>
          </reference>
          <reference field="10" count="1">
            <x v="0"/>
          </reference>
        </references>
      </pivotArea>
    </format>
    <format dxfId="1349">
      <pivotArea dataOnly="0" labelOnly="1" outline="0" fieldPosition="0">
        <references count="6">
          <reference field="0" count="1" selected="0">
            <x v="9"/>
          </reference>
          <reference field="4" count="1" selected="0">
            <x v="2"/>
          </reference>
          <reference field="5" count="1" selected="0">
            <x v="0"/>
          </reference>
          <reference field="8" count="1" selected="0">
            <x v="6"/>
          </reference>
          <reference field="10" count="1" selected="0">
            <x v="0"/>
          </reference>
          <reference field="12" count="1">
            <x v="16"/>
          </reference>
        </references>
      </pivotArea>
    </format>
    <format dxfId="1348">
      <pivotArea dataOnly="0" labelOnly="1" outline="0" fieldPosition="0">
        <references count="6">
          <reference field="0" count="1" selected="0">
            <x v="10"/>
          </reference>
          <reference field="4" count="1" selected="0">
            <x v="2"/>
          </reference>
          <reference field="5" count="1" selected="0">
            <x v="0"/>
          </reference>
          <reference field="8" count="1" selected="0">
            <x v="6"/>
          </reference>
          <reference field="10" count="1" selected="0">
            <x v="0"/>
          </reference>
          <reference field="12" count="1">
            <x v="14"/>
          </reference>
        </references>
      </pivotArea>
    </format>
    <format dxfId="1347">
      <pivotArea dataOnly="0" labelOnly="1" outline="0" fieldPosition="0">
        <references count="6">
          <reference field="0" count="1" selected="0">
            <x v="11"/>
          </reference>
          <reference field="4" count="1" selected="0">
            <x v="2"/>
          </reference>
          <reference field="5" count="1" selected="0">
            <x v="0"/>
          </reference>
          <reference field="8" count="1" selected="0">
            <x v="3"/>
          </reference>
          <reference field="10" count="1" selected="0">
            <x v="0"/>
          </reference>
          <reference field="12" count="1">
            <x v="11"/>
          </reference>
        </references>
      </pivotArea>
    </format>
    <format dxfId="1346">
      <pivotArea dataOnly="0" labelOnly="1" outline="0" fieldPosition="0">
        <references count="6">
          <reference field="0" count="1" selected="0">
            <x v="12"/>
          </reference>
          <reference field="4" count="1" selected="0">
            <x v="2"/>
          </reference>
          <reference field="5" count="1" selected="0">
            <x v="0"/>
          </reference>
          <reference field="8" count="1" selected="0">
            <x v="7"/>
          </reference>
          <reference field="10" count="1" selected="0">
            <x v="0"/>
          </reference>
          <reference field="12" count="2">
            <x v="5"/>
            <x v="8"/>
          </reference>
        </references>
      </pivotArea>
    </format>
    <format dxfId="1345">
      <pivotArea dataOnly="0" labelOnly="1" outline="0" fieldPosition="0">
        <references count="6">
          <reference field="0" count="1" selected="0">
            <x v="13"/>
          </reference>
          <reference field="4" count="1" selected="0">
            <x v="2"/>
          </reference>
          <reference field="5" count="1" selected="0">
            <x v="0"/>
          </reference>
          <reference field="8" count="1" selected="0">
            <x v="7"/>
          </reference>
          <reference field="10" count="1" selected="0">
            <x v="0"/>
          </reference>
          <reference field="12" count="2">
            <x v="15"/>
            <x v="18"/>
          </reference>
        </references>
      </pivotArea>
    </format>
    <format dxfId="1344">
      <pivotArea dataOnly="0" labelOnly="1" outline="0" fieldPosition="0">
        <references count="6">
          <reference field="0" count="1" selected="0">
            <x v="14"/>
          </reference>
          <reference field="4" count="1" selected="0">
            <x v="2"/>
          </reference>
          <reference field="5" count="1" selected="0">
            <x v="0"/>
          </reference>
          <reference field="8" count="1" selected="0">
            <x v="5"/>
          </reference>
          <reference field="10" count="1" selected="0">
            <x v="2"/>
          </reference>
          <reference field="12" count="1">
            <x v="34"/>
          </reference>
        </references>
      </pivotArea>
    </format>
    <format dxfId="1343">
      <pivotArea dataOnly="0" labelOnly="1" outline="0" fieldPosition="0">
        <references count="6">
          <reference field="0" count="1" selected="0">
            <x v="15"/>
          </reference>
          <reference field="4" count="1" selected="0">
            <x v="2"/>
          </reference>
          <reference field="5" count="1" selected="0">
            <x v="1"/>
          </reference>
          <reference field="8" count="1" selected="0">
            <x v="1"/>
          </reference>
          <reference field="10" count="1" selected="0">
            <x v="0"/>
          </reference>
          <reference field="12" count="1">
            <x v="33"/>
          </reference>
        </references>
      </pivotArea>
    </format>
    <format dxfId="1342">
      <pivotArea dataOnly="0" labelOnly="1" outline="0" fieldPosition="0">
        <references count="6">
          <reference field="0" count="1" selected="0">
            <x v="21"/>
          </reference>
          <reference field="4" count="1" selected="0">
            <x v="2"/>
          </reference>
          <reference field="5" count="1" selected="0">
            <x v="2"/>
          </reference>
          <reference field="8" count="1" selected="0">
            <x v="6"/>
          </reference>
          <reference field="10" count="1" selected="0">
            <x v="0"/>
          </reference>
          <reference field="12" count="1">
            <x v="13"/>
          </reference>
        </references>
      </pivotArea>
    </format>
    <format dxfId="1341">
      <pivotArea dataOnly="0" labelOnly="1" outline="0" fieldPosition="0">
        <references count="6">
          <reference field="0" count="1" selected="0">
            <x v="22"/>
          </reference>
          <reference field="4" count="1" selected="0">
            <x v="2"/>
          </reference>
          <reference field="5" count="1" selected="0">
            <x v="2"/>
          </reference>
          <reference field="8" count="1" selected="0">
            <x v="6"/>
          </reference>
          <reference field="10" count="1" selected="0">
            <x v="0"/>
          </reference>
          <reference field="12" count="1">
            <x v="17"/>
          </reference>
        </references>
      </pivotArea>
    </format>
    <format dxfId="1340">
      <pivotArea dataOnly="0" labelOnly="1" outline="0" fieldPosition="0">
        <references count="6">
          <reference field="0" count="1" selected="0">
            <x v="23"/>
          </reference>
          <reference field="4" count="1" selected="0">
            <x v="2"/>
          </reference>
          <reference field="5" count="1" selected="0">
            <x v="2"/>
          </reference>
          <reference field="8" count="1" selected="0">
            <x v="3"/>
          </reference>
          <reference field="10" count="1" selected="0">
            <x v="0"/>
          </reference>
          <reference field="12" count="1">
            <x v="19"/>
          </reference>
        </references>
      </pivotArea>
    </format>
    <format dxfId="1339">
      <pivotArea dataOnly="0" labelOnly="1" outline="0" fieldPosition="0">
        <references count="6">
          <reference field="0" count="1" selected="0">
            <x v="24"/>
          </reference>
          <reference field="4" count="1" selected="0">
            <x v="2"/>
          </reference>
          <reference field="5" count="1" selected="0">
            <x v="2"/>
          </reference>
          <reference field="8" count="1" selected="0">
            <x v="7"/>
          </reference>
          <reference field="10" count="1" selected="0">
            <x v="0"/>
          </reference>
          <reference field="12" count="2">
            <x v="0"/>
            <x v="1"/>
          </reference>
        </references>
      </pivotArea>
    </format>
    <format dxfId="1338">
      <pivotArea dataOnly="0" labelOnly="1" outline="0" fieldPosition="0">
        <references count="6">
          <reference field="0" count="1" selected="0">
            <x v="25"/>
          </reference>
          <reference field="4" count="1" selected="0">
            <x v="2"/>
          </reference>
          <reference field="5" count="1" selected="0">
            <x v="2"/>
          </reference>
          <reference field="8" count="1" selected="0">
            <x v="7"/>
          </reference>
          <reference field="10" count="1" selected="0">
            <x v="0"/>
          </reference>
          <reference field="12" count="2">
            <x v="15"/>
            <x v="18"/>
          </reference>
        </references>
      </pivotArea>
    </format>
    <format dxfId="1337">
      <pivotArea dataOnly="0" labelOnly="1" outline="0" fieldPosition="0">
        <references count="6">
          <reference field="0" count="1" selected="0">
            <x v="26"/>
          </reference>
          <reference field="4" count="1" selected="0">
            <x v="2"/>
          </reference>
          <reference field="5" count="1" selected="0">
            <x v="2"/>
          </reference>
          <reference field="8" count="1" selected="0">
            <x v="5"/>
          </reference>
          <reference field="10" count="1" selected="0">
            <x v="2"/>
          </reference>
          <reference field="12" count="1">
            <x v="34"/>
          </reference>
        </references>
      </pivotArea>
    </format>
    <format dxfId="1336">
      <pivotArea dataOnly="0" labelOnly="1" outline="0" fieldPosition="0">
        <references count="6">
          <reference field="0" count="1" selected="0">
            <x v="27"/>
          </reference>
          <reference field="4" count="1" selected="0">
            <x v="2"/>
          </reference>
          <reference field="5" count="1" selected="0">
            <x v="3"/>
          </reference>
          <reference field="8" count="1" selected="0">
            <x v="7"/>
          </reference>
          <reference field="10" count="1" selected="0">
            <x v="0"/>
          </reference>
          <reference field="12" count="1">
            <x v="6"/>
          </reference>
        </references>
      </pivotArea>
    </format>
    <format dxfId="1335">
      <pivotArea dataOnly="0" labelOnly="1" outline="0" fieldPosition="0">
        <references count="6">
          <reference field="0" count="1" selected="0">
            <x v="28"/>
          </reference>
          <reference field="4" count="1" selected="0">
            <x v="2"/>
          </reference>
          <reference field="5" count="1" selected="0">
            <x v="3"/>
          </reference>
          <reference field="8" count="1" selected="0">
            <x v="7"/>
          </reference>
          <reference field="10" count="1" selected="0">
            <x v="0"/>
          </reference>
          <reference field="12" count="1">
            <x v="7"/>
          </reference>
        </references>
      </pivotArea>
    </format>
    <format dxfId="1334">
      <pivotArea dataOnly="0" labelOnly="1" outline="0" fieldPosition="0">
        <references count="6">
          <reference field="0" count="1" selected="0">
            <x v="29"/>
          </reference>
          <reference field="4" count="1" selected="0">
            <x v="2"/>
          </reference>
          <reference field="5" count="1" selected="0">
            <x v="3"/>
          </reference>
          <reference field="8" count="1" selected="0">
            <x v="3"/>
          </reference>
          <reference field="10" count="1" selected="0">
            <x v="0"/>
          </reference>
          <reference field="12" count="1">
            <x v="11"/>
          </reference>
        </references>
      </pivotArea>
    </format>
    <format dxfId="1333">
      <pivotArea dataOnly="0" labelOnly="1" outline="0" fieldPosition="0">
        <references count="6">
          <reference field="0" count="1" selected="0">
            <x v="30"/>
          </reference>
          <reference field="4" count="1" selected="0">
            <x v="2"/>
          </reference>
          <reference field="5" count="1" selected="0">
            <x v="3"/>
          </reference>
          <reference field="8" count="1" selected="0">
            <x v="4"/>
          </reference>
          <reference field="10" count="1" selected="0">
            <x v="1"/>
          </reference>
          <reference field="12" count="2">
            <x v="5"/>
            <x v="8"/>
          </reference>
        </references>
      </pivotArea>
    </format>
    <format dxfId="1332">
      <pivotArea dataOnly="0" labelOnly="1" outline="0" fieldPosition="0">
        <references count="6">
          <reference field="0" count="1" selected="0">
            <x v="31"/>
          </reference>
          <reference field="4" count="1" selected="0">
            <x v="2"/>
          </reference>
          <reference field="5" count="1" selected="0">
            <x v="3"/>
          </reference>
          <reference field="8" count="1" selected="0">
            <x v="0"/>
          </reference>
          <reference field="10" count="1" selected="0">
            <x v="0"/>
          </reference>
          <reference field="12" count="1">
            <x v="9"/>
          </reference>
        </references>
      </pivotArea>
    </format>
    <format dxfId="1331">
      <pivotArea dataOnly="0" labelOnly="1" outline="0" fieldPosition="0">
        <references count="6">
          <reference field="0" count="1" selected="0">
            <x v="32"/>
          </reference>
          <reference field="4" count="1" selected="0">
            <x v="2"/>
          </reference>
          <reference field="5" count="1" selected="0">
            <x v="3"/>
          </reference>
          <reference field="8" count="1" selected="0">
            <x v="0"/>
          </reference>
          <reference field="10" count="1" selected="0">
            <x v="0"/>
          </reference>
          <reference field="12" count="1">
            <x v="10"/>
          </reference>
        </references>
      </pivotArea>
    </format>
    <format dxfId="1330">
      <pivotArea dataOnly="0" labelOnly="1" outline="0" fieldPosition="0">
        <references count="6">
          <reference field="0" count="1" selected="0">
            <x v="35"/>
          </reference>
          <reference field="4" count="1" selected="0">
            <x v="1"/>
          </reference>
          <reference field="5" count="1" selected="0">
            <x v="4"/>
          </reference>
          <reference field="8" count="1" selected="0">
            <x v="3"/>
          </reference>
          <reference field="10" count="1" selected="0">
            <x v="1"/>
          </reference>
          <reference field="12" count="1">
            <x v="4"/>
          </reference>
        </references>
      </pivotArea>
    </format>
    <format dxfId="1329">
      <pivotArea dataOnly="0" labelOnly="1" outline="0" fieldPosition="0">
        <references count="6">
          <reference field="0" count="1" selected="0">
            <x v="36"/>
          </reference>
          <reference field="4" count="1" selected="0">
            <x v="1"/>
          </reference>
          <reference field="5" count="1" selected="0">
            <x v="4"/>
          </reference>
          <reference field="8" count="1" selected="0">
            <x v="3"/>
          </reference>
          <reference field="10" count="1" selected="0">
            <x v="1"/>
          </reference>
          <reference field="12" count="1">
            <x v="3"/>
          </reference>
        </references>
      </pivotArea>
    </format>
    <format dxfId="1328">
      <pivotArea dataOnly="0" labelOnly="1" outline="0" fieldPosition="0">
        <references count="6">
          <reference field="0" count="1" selected="0">
            <x v="37"/>
          </reference>
          <reference field="4" count="1" selected="0">
            <x v="1"/>
          </reference>
          <reference field="5" count="1" selected="0">
            <x v="4"/>
          </reference>
          <reference field="8" count="1" selected="0">
            <x v="5"/>
          </reference>
          <reference field="10" count="1" selected="0">
            <x v="2"/>
          </reference>
          <reference field="12" count="1">
            <x v="34"/>
          </reference>
        </references>
      </pivotArea>
    </format>
    <format dxfId="1327">
      <pivotArea dataOnly="0" labelOnly="1" outline="0" fieldPosition="0">
        <references count="6">
          <reference field="0" count="1" selected="0">
            <x v="38"/>
          </reference>
          <reference field="4" count="1" selected="0">
            <x v="1"/>
          </reference>
          <reference field="5" count="1" selected="0">
            <x v="4"/>
          </reference>
          <reference field="8" count="1" selected="0">
            <x v="4"/>
          </reference>
          <reference field="10" count="1" selected="0">
            <x v="1"/>
          </reference>
          <reference field="12" count="3">
            <x v="0"/>
            <x v="1"/>
            <x v="2"/>
          </reference>
        </references>
      </pivotArea>
    </format>
    <format dxfId="1326">
      <pivotArea dataOnly="0" labelOnly="1" outline="0" fieldPosition="0">
        <references count="6">
          <reference field="0" count="1" selected="0">
            <x v="39"/>
          </reference>
          <reference field="4" count="1" selected="0">
            <x v="1"/>
          </reference>
          <reference field="5" count="1" selected="0">
            <x v="5"/>
          </reference>
          <reference field="8" count="1" selected="0">
            <x v="6"/>
          </reference>
          <reference field="10" count="1" selected="0">
            <x v="0"/>
          </reference>
          <reference field="12" count="1">
            <x v="22"/>
          </reference>
        </references>
      </pivotArea>
    </format>
    <format dxfId="1325">
      <pivotArea dataOnly="0" labelOnly="1" outline="0" fieldPosition="0">
        <references count="6">
          <reference field="0" count="1" selected="0">
            <x v="40"/>
          </reference>
          <reference field="4" count="1" selected="0">
            <x v="1"/>
          </reference>
          <reference field="5" count="1" selected="0">
            <x v="5"/>
          </reference>
          <reference field="8" count="1" selected="0">
            <x v="3"/>
          </reference>
          <reference field="10" count="1" selected="0">
            <x v="0"/>
          </reference>
          <reference field="12" count="1">
            <x v="12"/>
          </reference>
        </references>
      </pivotArea>
    </format>
    <format dxfId="1324">
      <pivotArea dataOnly="0" labelOnly="1" outline="0" fieldPosition="0">
        <references count="6">
          <reference field="0" count="1" selected="0">
            <x v="43"/>
          </reference>
          <reference field="4" count="1" selected="0">
            <x v="1"/>
          </reference>
          <reference field="5" count="1" selected="0">
            <x v="5"/>
          </reference>
          <reference field="8" count="1" selected="0">
            <x v="3"/>
          </reference>
          <reference field="10" count="1" selected="0">
            <x v="0"/>
          </reference>
          <reference field="12" count="1">
            <x v="21"/>
          </reference>
        </references>
      </pivotArea>
    </format>
    <format dxfId="1323">
      <pivotArea dataOnly="0" labelOnly="1" outline="0" fieldPosition="0">
        <references count="6">
          <reference field="0" count="1" selected="0">
            <x v="44"/>
          </reference>
          <reference field="4" count="1" selected="0">
            <x v="1"/>
          </reference>
          <reference field="5" count="1" selected="0">
            <x v="5"/>
          </reference>
          <reference field="8" count="1" selected="0">
            <x v="3"/>
          </reference>
          <reference field="10" count="1" selected="0">
            <x v="0"/>
          </reference>
          <reference field="12" count="2">
            <x v="13"/>
            <x v="16"/>
          </reference>
        </references>
      </pivotArea>
    </format>
    <format dxfId="1322">
      <pivotArea dataOnly="0" labelOnly="1" outline="0" fieldPosition="0">
        <references count="6">
          <reference field="0" count="1" selected="0">
            <x v="49"/>
          </reference>
          <reference field="4" count="1" selected="0">
            <x v="1"/>
          </reference>
          <reference field="5" count="1" selected="0">
            <x v="5"/>
          </reference>
          <reference field="8" count="1" selected="0">
            <x v="7"/>
          </reference>
          <reference field="10" count="1" selected="0">
            <x v="0"/>
          </reference>
          <reference field="12" count="1">
            <x v="15"/>
          </reference>
        </references>
      </pivotArea>
    </format>
    <format dxfId="1321">
      <pivotArea dataOnly="0" labelOnly="1" outline="0" fieldPosition="0">
        <references count="6">
          <reference field="0" count="1" selected="0">
            <x v="50"/>
          </reference>
          <reference field="4" count="1" selected="0">
            <x v="1"/>
          </reference>
          <reference field="5" count="1" selected="0">
            <x v="5"/>
          </reference>
          <reference field="8" count="1" selected="0">
            <x v="6"/>
          </reference>
          <reference field="10" count="1" selected="0">
            <x v="0"/>
          </reference>
          <reference field="12" count="1">
            <x v="20"/>
          </reference>
        </references>
      </pivotArea>
    </format>
    <format dxfId="1320">
      <pivotArea dataOnly="0" labelOnly="1" outline="0" fieldPosition="0">
        <references count="6">
          <reference field="0" count="1" selected="0">
            <x v="52"/>
          </reference>
          <reference field="4" count="1" selected="0">
            <x v="1"/>
          </reference>
          <reference field="5" count="1" selected="0">
            <x v="6"/>
          </reference>
          <reference field="8" count="1" selected="0">
            <x v="3"/>
          </reference>
          <reference field="10" count="1" selected="0">
            <x v="0"/>
          </reference>
          <reference field="12" count="1">
            <x v="21"/>
          </reference>
        </references>
      </pivotArea>
    </format>
    <format dxfId="1319">
      <pivotArea dataOnly="0" labelOnly="1" outline="0" fieldPosition="0">
        <references count="6">
          <reference field="0" count="1" selected="0">
            <x v="53"/>
          </reference>
          <reference field="4" count="1" selected="0">
            <x v="1"/>
          </reference>
          <reference field="5" count="1" selected="0">
            <x v="6"/>
          </reference>
          <reference field="8" count="1" selected="0">
            <x v="6"/>
          </reference>
          <reference field="10" count="1" selected="0">
            <x v="0"/>
          </reference>
          <reference field="12" count="1">
            <x v="15"/>
          </reference>
        </references>
      </pivotArea>
    </format>
    <format dxfId="1318">
      <pivotArea dataOnly="0" labelOnly="1" outline="0" fieldPosition="0">
        <references count="6">
          <reference field="0" count="1" selected="0">
            <x v="58"/>
          </reference>
          <reference field="4" count="1" selected="0">
            <x v="1"/>
          </reference>
          <reference field="5" count="1" selected="0">
            <x v="6"/>
          </reference>
          <reference field="8" count="1" selected="0">
            <x v="3"/>
          </reference>
          <reference field="10" count="1" selected="0">
            <x v="0"/>
          </reference>
          <reference field="12" count="1">
            <x v="24"/>
          </reference>
        </references>
      </pivotArea>
    </format>
    <format dxfId="1317">
      <pivotArea dataOnly="0" labelOnly="1" outline="0" fieldPosition="0">
        <references count="6">
          <reference field="0" count="1" selected="0">
            <x v="64"/>
          </reference>
          <reference field="4" count="1" selected="0">
            <x v="1"/>
          </reference>
          <reference field="5" count="1" selected="0">
            <x v="6"/>
          </reference>
          <reference field="8" count="1" selected="0">
            <x v="6"/>
          </reference>
          <reference field="10" count="1" selected="0">
            <x v="0"/>
          </reference>
          <reference field="12" count="1">
            <x v="35"/>
          </reference>
        </references>
      </pivotArea>
    </format>
    <format dxfId="1316">
      <pivotArea dataOnly="0" labelOnly="1" outline="0" fieldPosition="0">
        <references count="6">
          <reference field="0" count="1" selected="0">
            <x v="65"/>
          </reference>
          <reference field="4" count="1" selected="0">
            <x v="1"/>
          </reference>
          <reference field="5" count="1" selected="0">
            <x v="6"/>
          </reference>
          <reference field="8" count="1" selected="0">
            <x v="7"/>
          </reference>
          <reference field="10" count="1" selected="0">
            <x v="0"/>
          </reference>
          <reference field="12" count="2">
            <x v="0"/>
            <x v="1"/>
          </reference>
        </references>
      </pivotArea>
    </format>
    <format dxfId="1315">
      <pivotArea dataOnly="0" labelOnly="1" outline="0" fieldPosition="0">
        <references count="6">
          <reference field="0" count="1" selected="0">
            <x v="67"/>
          </reference>
          <reference field="4" count="1" selected="0">
            <x v="0"/>
          </reference>
          <reference field="5" count="1" selected="0">
            <x v="7"/>
          </reference>
          <reference field="8" count="1" selected="0">
            <x v="2"/>
          </reference>
          <reference field="10" count="1" selected="0">
            <x v="0"/>
          </reference>
          <reference field="12" count="1">
            <x v="25"/>
          </reference>
        </references>
      </pivotArea>
    </format>
    <format dxfId="1314">
      <pivotArea dataOnly="0" labelOnly="1" outline="0" fieldPosition="0">
        <references count="6">
          <reference field="0" count="1" selected="0">
            <x v="68"/>
          </reference>
          <reference field="4" count="1" selected="0">
            <x v="0"/>
          </reference>
          <reference field="5" count="1" selected="0">
            <x v="7"/>
          </reference>
          <reference field="8" count="1" selected="0">
            <x v="2"/>
          </reference>
          <reference field="10" count="1" selected="0">
            <x v="0"/>
          </reference>
          <reference field="12" count="1">
            <x v="26"/>
          </reference>
        </references>
      </pivotArea>
    </format>
    <format dxfId="1313">
      <pivotArea dataOnly="0" labelOnly="1" outline="0" fieldPosition="0">
        <references count="6">
          <reference field="0" count="1" selected="0">
            <x v="69"/>
          </reference>
          <reference field="4" count="1" selected="0">
            <x v="0"/>
          </reference>
          <reference field="5" count="1" selected="0">
            <x v="7"/>
          </reference>
          <reference field="8" count="1" selected="0">
            <x v="2"/>
          </reference>
          <reference field="10" count="1" selected="0">
            <x v="0"/>
          </reference>
          <reference field="12" count="1">
            <x v="25"/>
          </reference>
        </references>
      </pivotArea>
    </format>
    <format dxfId="1312">
      <pivotArea dataOnly="0" labelOnly="1" outline="0" fieldPosition="0">
        <references count="6">
          <reference field="0" count="1" selected="0">
            <x v="70"/>
          </reference>
          <reference field="4" count="1" selected="0">
            <x v="0"/>
          </reference>
          <reference field="5" count="1" selected="0">
            <x v="8"/>
          </reference>
          <reference field="8" count="1" selected="0">
            <x v="2"/>
          </reference>
          <reference field="10" count="1" selected="0">
            <x v="0"/>
          </reference>
          <reference field="12" count="1">
            <x v="8"/>
          </reference>
        </references>
      </pivotArea>
    </format>
    <format dxfId="1311">
      <pivotArea dataOnly="0" labelOnly="1" outline="0" fieldPosition="0">
        <references count="6">
          <reference field="0" count="1" selected="0">
            <x v="71"/>
          </reference>
          <reference field="4" count="1" selected="0">
            <x v="0"/>
          </reference>
          <reference field="5" count="1" selected="0">
            <x v="8"/>
          </reference>
          <reference field="8" count="1" selected="0">
            <x v="2"/>
          </reference>
          <reference field="10" count="1" selected="0">
            <x v="0"/>
          </reference>
          <reference field="12" count="1">
            <x v="20"/>
          </reference>
        </references>
      </pivotArea>
    </format>
    <format dxfId="1310">
      <pivotArea dataOnly="0" labelOnly="1" outline="0" fieldPosition="0">
        <references count="6">
          <reference field="0" count="1" selected="0">
            <x v="72"/>
          </reference>
          <reference field="4" count="1" selected="0">
            <x v="0"/>
          </reference>
          <reference field="5" count="1" selected="0">
            <x v="8"/>
          </reference>
          <reference field="8" count="1" selected="0">
            <x v="2"/>
          </reference>
          <reference field="10" count="1" selected="0">
            <x v="0"/>
          </reference>
          <reference field="12" count="1">
            <x v="27"/>
          </reference>
        </references>
      </pivotArea>
    </format>
    <format dxfId="1309">
      <pivotArea dataOnly="0" labelOnly="1" outline="0" fieldPosition="0">
        <references count="6">
          <reference field="0" count="1" selected="0">
            <x v="0"/>
          </reference>
          <reference field="4" count="1" selected="0">
            <x v="0"/>
          </reference>
          <reference field="5" count="1" selected="0">
            <x v="9"/>
          </reference>
          <reference field="8" count="1" selected="0">
            <x v="2"/>
          </reference>
          <reference field="10" count="1" selected="0">
            <x v="0"/>
          </reference>
          <reference field="12" count="1">
            <x v="28"/>
          </reference>
        </references>
      </pivotArea>
    </format>
    <format dxfId="1308">
      <pivotArea dataOnly="0" labelOnly="1" outline="0" fieldPosition="0">
        <references count="6">
          <reference field="0" count="1" selected="0">
            <x v="1"/>
          </reference>
          <reference field="4" count="1" selected="0">
            <x v="0"/>
          </reference>
          <reference field="5" count="1" selected="0">
            <x v="9"/>
          </reference>
          <reference field="8" count="1" selected="0">
            <x v="2"/>
          </reference>
          <reference field="10" count="1" selected="0">
            <x v="0"/>
          </reference>
          <reference field="12" count="1">
            <x v="31"/>
          </reference>
        </references>
      </pivotArea>
    </format>
    <format dxfId="1307">
      <pivotArea dataOnly="0" labelOnly="1" outline="0" fieldPosition="0">
        <references count="6">
          <reference field="0" count="1" selected="0">
            <x v="2"/>
          </reference>
          <reference field="4" count="1" selected="0">
            <x v="0"/>
          </reference>
          <reference field="5" count="1" selected="0">
            <x v="9"/>
          </reference>
          <reference field="8" count="1" selected="0">
            <x v="2"/>
          </reference>
          <reference field="10" count="1" selected="0">
            <x v="0"/>
          </reference>
          <reference field="12" count="1">
            <x v="28"/>
          </reference>
        </references>
      </pivotArea>
    </format>
    <format dxfId="1306">
      <pivotArea dataOnly="0" labelOnly="1" outline="0" fieldPosition="0">
        <references count="6">
          <reference field="0" count="1" selected="0">
            <x v="3"/>
          </reference>
          <reference field="4" count="1" selected="0">
            <x v="0"/>
          </reference>
          <reference field="5" count="1" selected="0">
            <x v="10"/>
          </reference>
          <reference field="8" count="1" selected="0">
            <x v="2"/>
          </reference>
          <reference field="10" count="1" selected="0">
            <x v="0"/>
          </reference>
          <reference field="12" count="1">
            <x v="29"/>
          </reference>
        </references>
      </pivotArea>
    </format>
    <format dxfId="1305">
      <pivotArea dataOnly="0" labelOnly="1" outline="0" fieldPosition="0">
        <references count="6">
          <reference field="0" count="1" selected="0">
            <x v="4"/>
          </reference>
          <reference field="4" count="1" selected="0">
            <x v="0"/>
          </reference>
          <reference field="5" count="1" selected="0">
            <x v="10"/>
          </reference>
          <reference field="8" count="1" selected="0">
            <x v="2"/>
          </reference>
          <reference field="10" count="1" selected="0">
            <x v="0"/>
          </reference>
          <reference field="12" count="1">
            <x v="32"/>
          </reference>
        </references>
      </pivotArea>
    </format>
    <format dxfId="1304">
      <pivotArea dataOnly="0" labelOnly="1" outline="0" fieldPosition="0">
        <references count="6">
          <reference field="0" count="1" selected="0">
            <x v="5"/>
          </reference>
          <reference field="4" count="1" selected="0">
            <x v="0"/>
          </reference>
          <reference field="5" count="1" selected="0">
            <x v="10"/>
          </reference>
          <reference field="8" count="1" selected="0">
            <x v="2"/>
          </reference>
          <reference field="10" count="1" selected="0">
            <x v="0"/>
          </reference>
          <reference field="12" count="1">
            <x v="29"/>
          </reference>
        </references>
      </pivotArea>
    </format>
    <format dxfId="1303">
      <pivotArea dataOnly="0" labelOnly="1" outline="0" fieldPosition="0">
        <references count="6">
          <reference field="0" count="1" selected="0">
            <x v="6"/>
          </reference>
          <reference field="4" count="1" selected="0">
            <x v="0"/>
          </reference>
          <reference field="5" count="1" selected="0">
            <x v="11"/>
          </reference>
          <reference field="8" count="1" selected="0">
            <x v="2"/>
          </reference>
          <reference field="10" count="1" selected="0">
            <x v="0"/>
          </reference>
          <reference field="12" count="1">
            <x v="30"/>
          </reference>
        </references>
      </pivotArea>
    </format>
    <format dxfId="1302">
      <pivotArea dataOnly="0" labelOnly="1" outline="0" fieldPosition="0">
        <references count="6">
          <reference field="0" count="1" selected="0">
            <x v="7"/>
          </reference>
          <reference field="4" count="1" selected="0">
            <x v="0"/>
          </reference>
          <reference field="5" count="1" selected="0">
            <x v="11"/>
          </reference>
          <reference field="8" count="1" selected="0">
            <x v="2"/>
          </reference>
          <reference field="10" count="1" selected="0">
            <x v="0"/>
          </reference>
          <reference field="12" count="1">
            <x v="32"/>
          </reference>
        </references>
      </pivotArea>
    </format>
    <format dxfId="1301">
      <pivotArea dataOnly="0" labelOnly="1" outline="0" fieldPosition="0">
        <references count="6">
          <reference field="0" count="1" selected="0">
            <x v="8"/>
          </reference>
          <reference field="4" count="1" selected="0">
            <x v="0"/>
          </reference>
          <reference field="5" count="1" selected="0">
            <x v="11"/>
          </reference>
          <reference field="8" count="1" selected="0">
            <x v="2"/>
          </reference>
          <reference field="10" count="1" selected="0">
            <x v="0"/>
          </reference>
          <reference field="12" count="1">
            <x v="30"/>
          </reference>
        </references>
      </pivotArea>
    </format>
    <format dxfId="1300">
      <pivotArea dataOnly="0" labelOnly="1" outline="0" fieldPosition="0">
        <references count="7">
          <reference field="0" count="1" selected="0">
            <x v="9"/>
          </reference>
          <reference field="4" count="1" selected="0">
            <x v="2"/>
          </reference>
          <reference field="5" count="1" selected="0">
            <x v="0"/>
          </reference>
          <reference field="8" count="1" selected="0">
            <x v="6"/>
          </reference>
          <reference field="10" count="1" selected="0">
            <x v="0"/>
          </reference>
          <reference field="11" count="1">
            <x v="4"/>
          </reference>
          <reference field="12" count="1" selected="0">
            <x v="16"/>
          </reference>
        </references>
      </pivotArea>
    </format>
    <format dxfId="1299">
      <pivotArea dataOnly="0" labelOnly="1" outline="0" fieldPosition="0">
        <references count="7">
          <reference field="0" count="1" selected="0">
            <x v="12"/>
          </reference>
          <reference field="4" count="1" selected="0">
            <x v="2"/>
          </reference>
          <reference field="5" count="1" selected="0">
            <x v="0"/>
          </reference>
          <reference field="8" count="1" selected="0">
            <x v="7"/>
          </reference>
          <reference field="10" count="1" selected="0">
            <x v="0"/>
          </reference>
          <reference field="11" count="1">
            <x v="0"/>
          </reference>
          <reference field="12" count="1" selected="0">
            <x v="5"/>
          </reference>
        </references>
      </pivotArea>
    </format>
    <format dxfId="1298">
      <pivotArea dataOnly="0" labelOnly="1" outline="0" fieldPosition="0">
        <references count="7">
          <reference field="0" count="1" selected="0">
            <x v="13"/>
          </reference>
          <reference field="4" count="1" selected="0">
            <x v="2"/>
          </reference>
          <reference field="5" count="1" selected="0">
            <x v="0"/>
          </reference>
          <reference field="8" count="1" selected="0">
            <x v="7"/>
          </reference>
          <reference field="10" count="1" selected="0">
            <x v="0"/>
          </reference>
          <reference field="11" count="1">
            <x v="1"/>
          </reference>
          <reference field="12" count="1" selected="0">
            <x v="18"/>
          </reference>
        </references>
      </pivotArea>
    </format>
    <format dxfId="1297">
      <pivotArea dataOnly="0" labelOnly="1" outline="0" fieldPosition="0">
        <references count="7">
          <reference field="0" count="1" selected="0">
            <x v="14"/>
          </reference>
          <reference field="4" count="1" selected="0">
            <x v="2"/>
          </reference>
          <reference field="5" count="1" selected="0">
            <x v="0"/>
          </reference>
          <reference field="8" count="1" selected="0">
            <x v="5"/>
          </reference>
          <reference field="10" count="1" selected="0">
            <x v="2"/>
          </reference>
          <reference field="11" count="1">
            <x v="7"/>
          </reference>
          <reference field="12" count="1" selected="0">
            <x v="34"/>
          </reference>
        </references>
      </pivotArea>
    </format>
    <format dxfId="1296">
      <pivotArea dataOnly="0" labelOnly="1" outline="0" fieldPosition="0">
        <references count="7">
          <reference field="0" count="1" selected="0">
            <x v="15"/>
          </reference>
          <reference field="4" count="1" selected="0">
            <x v="2"/>
          </reference>
          <reference field="5" count="1" selected="0">
            <x v="1"/>
          </reference>
          <reference field="8" count="1" selected="0">
            <x v="1"/>
          </reference>
          <reference field="10" count="1" selected="0">
            <x v="0"/>
          </reference>
          <reference field="11" count="1">
            <x v="7"/>
          </reference>
          <reference field="12" count="1" selected="0">
            <x v="33"/>
          </reference>
        </references>
      </pivotArea>
    </format>
    <format dxfId="1295">
      <pivotArea dataOnly="0" labelOnly="1" outline="0" fieldPosition="0">
        <references count="7">
          <reference field="0" count="1" selected="0">
            <x v="21"/>
          </reference>
          <reference field="4" count="1" selected="0">
            <x v="2"/>
          </reference>
          <reference field="5" count="1" selected="0">
            <x v="2"/>
          </reference>
          <reference field="8" count="1" selected="0">
            <x v="6"/>
          </reference>
          <reference field="10" count="1" selected="0">
            <x v="0"/>
          </reference>
          <reference field="11" count="1">
            <x v="2"/>
          </reference>
          <reference field="12" count="1" selected="0">
            <x v="13"/>
          </reference>
        </references>
      </pivotArea>
    </format>
    <format dxfId="1294">
      <pivotArea dataOnly="0" labelOnly="1" outline="0" fieldPosition="0">
        <references count="7">
          <reference field="0" count="1" selected="0">
            <x v="22"/>
          </reference>
          <reference field="4" count="1" selected="0">
            <x v="2"/>
          </reference>
          <reference field="5" count="1" selected="0">
            <x v="2"/>
          </reference>
          <reference field="8" count="1" selected="0">
            <x v="6"/>
          </reference>
          <reference field="10" count="1" selected="0">
            <x v="0"/>
          </reference>
          <reference field="11" count="1">
            <x v="4"/>
          </reference>
          <reference field="12" count="1" selected="0">
            <x v="17"/>
          </reference>
        </references>
      </pivotArea>
    </format>
    <format dxfId="1293">
      <pivotArea dataOnly="0" labelOnly="1" outline="0" fieldPosition="0">
        <references count="7">
          <reference field="0" count="1" selected="0">
            <x v="24"/>
          </reference>
          <reference field="4" count="1" selected="0">
            <x v="2"/>
          </reference>
          <reference field="5" count="1" selected="0">
            <x v="2"/>
          </reference>
          <reference field="8" count="1" selected="0">
            <x v="7"/>
          </reference>
          <reference field="10" count="1" selected="0">
            <x v="0"/>
          </reference>
          <reference field="11" count="1">
            <x v="0"/>
          </reference>
          <reference field="12" count="1" selected="0">
            <x v="0"/>
          </reference>
        </references>
      </pivotArea>
    </format>
    <format dxfId="1292">
      <pivotArea dataOnly="0" labelOnly="1" outline="0" fieldPosition="0">
        <references count="7">
          <reference field="0" count="1" selected="0">
            <x v="25"/>
          </reference>
          <reference field="4" count="1" selected="0">
            <x v="2"/>
          </reference>
          <reference field="5" count="1" selected="0">
            <x v="2"/>
          </reference>
          <reference field="8" count="1" selected="0">
            <x v="7"/>
          </reference>
          <reference field="10" count="1" selected="0">
            <x v="0"/>
          </reference>
          <reference field="11" count="1">
            <x v="1"/>
          </reference>
          <reference field="12" count="1" selected="0">
            <x v="18"/>
          </reference>
        </references>
      </pivotArea>
    </format>
    <format dxfId="1291">
      <pivotArea dataOnly="0" labelOnly="1" outline="0" fieldPosition="0">
        <references count="7">
          <reference field="0" count="1" selected="0">
            <x v="26"/>
          </reference>
          <reference field="4" count="1" selected="0">
            <x v="2"/>
          </reference>
          <reference field="5" count="1" selected="0">
            <x v="2"/>
          </reference>
          <reference field="8" count="1" selected="0">
            <x v="5"/>
          </reference>
          <reference field="10" count="1" selected="0">
            <x v="2"/>
          </reference>
          <reference field="11" count="1">
            <x v="7"/>
          </reference>
          <reference field="12" count="1" selected="0">
            <x v="34"/>
          </reference>
        </references>
      </pivotArea>
    </format>
    <format dxfId="1290">
      <pivotArea dataOnly="0" labelOnly="1" outline="0" fieldPosition="0">
        <references count="7">
          <reference field="0" count="1" selected="0">
            <x v="27"/>
          </reference>
          <reference field="4" count="1" selected="0">
            <x v="2"/>
          </reference>
          <reference field="5" count="1" selected="0">
            <x v="3"/>
          </reference>
          <reference field="8" count="1" selected="0">
            <x v="7"/>
          </reference>
          <reference field="10" count="1" selected="0">
            <x v="0"/>
          </reference>
          <reference field="11" count="1">
            <x v="6"/>
          </reference>
          <reference field="12" count="1" selected="0">
            <x v="6"/>
          </reference>
        </references>
      </pivotArea>
    </format>
    <format dxfId="1289">
      <pivotArea dataOnly="0" labelOnly="1" outline="0" fieldPosition="0">
        <references count="7">
          <reference field="0" count="1" selected="0">
            <x v="29"/>
          </reference>
          <reference field="4" count="1" selected="0">
            <x v="2"/>
          </reference>
          <reference field="5" count="1" selected="0">
            <x v="3"/>
          </reference>
          <reference field="8" count="1" selected="0">
            <x v="3"/>
          </reference>
          <reference field="10" count="1" selected="0">
            <x v="0"/>
          </reference>
          <reference field="11" count="1">
            <x v="4"/>
          </reference>
          <reference field="12" count="1" selected="0">
            <x v="11"/>
          </reference>
        </references>
      </pivotArea>
    </format>
    <format dxfId="1288">
      <pivotArea dataOnly="0" labelOnly="1" outline="0" fieldPosition="0">
        <references count="7">
          <reference field="0" count="1" selected="0">
            <x v="30"/>
          </reference>
          <reference field="4" count="1" selected="0">
            <x v="2"/>
          </reference>
          <reference field="5" count="1" selected="0">
            <x v="3"/>
          </reference>
          <reference field="8" count="1" selected="0">
            <x v="4"/>
          </reference>
          <reference field="10" count="1" selected="0">
            <x v="1"/>
          </reference>
          <reference field="11" count="1">
            <x v="0"/>
          </reference>
          <reference field="12" count="1" selected="0">
            <x v="5"/>
          </reference>
        </references>
      </pivotArea>
    </format>
    <format dxfId="1287">
      <pivotArea dataOnly="0" labelOnly="1" outline="0" fieldPosition="0">
        <references count="7">
          <reference field="0" count="1" selected="0">
            <x v="31"/>
          </reference>
          <reference field="4" count="1" selected="0">
            <x v="2"/>
          </reference>
          <reference field="5" count="1" selected="0">
            <x v="3"/>
          </reference>
          <reference field="8" count="1" selected="0">
            <x v="0"/>
          </reference>
          <reference field="10" count="1" selected="0">
            <x v="0"/>
          </reference>
          <reference field="11" count="1">
            <x v="6"/>
          </reference>
          <reference field="12" count="1" selected="0">
            <x v="9"/>
          </reference>
        </references>
      </pivotArea>
    </format>
    <format dxfId="1286">
      <pivotArea dataOnly="0" labelOnly="1" outline="0" fieldPosition="0">
        <references count="7">
          <reference field="0" count="1" selected="0">
            <x v="35"/>
          </reference>
          <reference field="4" count="1" selected="0">
            <x v="1"/>
          </reference>
          <reference field="5" count="1" selected="0">
            <x v="4"/>
          </reference>
          <reference field="8" count="1" selected="0">
            <x v="3"/>
          </reference>
          <reference field="10" count="1" selected="0">
            <x v="1"/>
          </reference>
          <reference field="11" count="1">
            <x v="4"/>
          </reference>
          <reference field="12" count="1" selected="0">
            <x v="4"/>
          </reference>
        </references>
      </pivotArea>
    </format>
    <format dxfId="1285">
      <pivotArea dataOnly="0" labelOnly="1" outline="0" fieldPosition="0">
        <references count="7">
          <reference field="0" count="1" selected="0">
            <x v="37"/>
          </reference>
          <reference field="4" count="1" selected="0">
            <x v="1"/>
          </reference>
          <reference field="5" count="1" selected="0">
            <x v="4"/>
          </reference>
          <reference field="8" count="1" selected="0">
            <x v="5"/>
          </reference>
          <reference field="10" count="1" selected="0">
            <x v="2"/>
          </reference>
          <reference field="11" count="1">
            <x v="7"/>
          </reference>
          <reference field="12" count="1" selected="0">
            <x v="34"/>
          </reference>
        </references>
      </pivotArea>
    </format>
    <format dxfId="1284">
      <pivotArea dataOnly="0" labelOnly="1" outline="0" fieldPosition="0">
        <references count="7">
          <reference field="0" count="1" selected="0">
            <x v="38"/>
          </reference>
          <reference field="4" count="1" selected="0">
            <x v="1"/>
          </reference>
          <reference field="5" count="1" selected="0">
            <x v="4"/>
          </reference>
          <reference field="8" count="1" selected="0">
            <x v="4"/>
          </reference>
          <reference field="10" count="1" selected="0">
            <x v="1"/>
          </reference>
          <reference field="11" count="1">
            <x v="0"/>
          </reference>
          <reference field="12" count="1" selected="0">
            <x v="0"/>
          </reference>
        </references>
      </pivotArea>
    </format>
    <format dxfId="1283">
      <pivotArea dataOnly="0" labelOnly="1" outline="0" fieldPosition="0">
        <references count="7">
          <reference field="0" count="1" selected="0">
            <x v="39"/>
          </reference>
          <reference field="4" count="1" selected="0">
            <x v="1"/>
          </reference>
          <reference field="5" count="1" selected="0">
            <x v="5"/>
          </reference>
          <reference field="8" count="1" selected="0">
            <x v="6"/>
          </reference>
          <reference field="10" count="1" selected="0">
            <x v="0"/>
          </reference>
          <reference field="11" count="1">
            <x v="1"/>
          </reference>
          <reference field="12" count="1" selected="0">
            <x v="22"/>
          </reference>
        </references>
      </pivotArea>
    </format>
    <format dxfId="1282">
      <pivotArea dataOnly="0" labelOnly="1" outline="0" fieldPosition="0">
        <references count="7">
          <reference field="0" count="1" selected="0">
            <x v="40"/>
          </reference>
          <reference field="4" count="1" selected="0">
            <x v="1"/>
          </reference>
          <reference field="5" count="1" selected="0">
            <x v="5"/>
          </reference>
          <reference field="8" count="1" selected="0">
            <x v="3"/>
          </reference>
          <reference field="10" count="1" selected="0">
            <x v="0"/>
          </reference>
          <reference field="11" count="1">
            <x v="6"/>
          </reference>
          <reference field="12" count="1" selected="0">
            <x v="12"/>
          </reference>
        </references>
      </pivotArea>
    </format>
    <format dxfId="1281">
      <pivotArea dataOnly="0" labelOnly="1" outline="0" fieldPosition="0">
        <references count="7">
          <reference field="0" count="1" selected="0">
            <x v="43"/>
          </reference>
          <reference field="4" count="1" selected="0">
            <x v="1"/>
          </reference>
          <reference field="5" count="1" selected="0">
            <x v="5"/>
          </reference>
          <reference field="8" count="1" selected="0">
            <x v="3"/>
          </reference>
          <reference field="10" count="1" selected="0">
            <x v="0"/>
          </reference>
          <reference field="11" count="1">
            <x v="4"/>
          </reference>
          <reference field="12" count="1" selected="0">
            <x v="21"/>
          </reference>
        </references>
      </pivotArea>
    </format>
    <format dxfId="1280">
      <pivotArea dataOnly="0" labelOnly="1" outline="0" fieldPosition="0">
        <references count="7">
          <reference field="0" count="1" selected="0">
            <x v="44"/>
          </reference>
          <reference field="4" count="1" selected="0">
            <x v="1"/>
          </reference>
          <reference field="5" count="1" selected="0">
            <x v="5"/>
          </reference>
          <reference field="8" count="1" selected="0">
            <x v="3"/>
          </reference>
          <reference field="10" count="1" selected="0">
            <x v="0"/>
          </reference>
          <reference field="11" count="1">
            <x v="1"/>
          </reference>
          <reference field="12" count="1" selected="0">
            <x v="13"/>
          </reference>
        </references>
      </pivotArea>
    </format>
    <format dxfId="1279">
      <pivotArea dataOnly="0" labelOnly="1" outline="0" fieldPosition="0">
        <references count="7">
          <reference field="0" count="1" selected="0">
            <x v="49"/>
          </reference>
          <reference field="4" count="1" selected="0">
            <x v="1"/>
          </reference>
          <reference field="5" count="1" selected="0">
            <x v="5"/>
          </reference>
          <reference field="8" count="1" selected="0">
            <x v="7"/>
          </reference>
          <reference field="10" count="1" selected="0">
            <x v="0"/>
          </reference>
          <reference field="11" count="1">
            <x v="0"/>
          </reference>
          <reference field="12" count="1" selected="0">
            <x v="15"/>
          </reference>
        </references>
      </pivotArea>
    </format>
    <format dxfId="1278">
      <pivotArea dataOnly="0" labelOnly="1" outline="0" fieldPosition="0">
        <references count="7">
          <reference field="0" count="1" selected="0">
            <x v="50"/>
          </reference>
          <reference field="4" count="1" selected="0">
            <x v="1"/>
          </reference>
          <reference field="5" count="1" selected="0">
            <x v="5"/>
          </reference>
          <reference field="8" count="1" selected="0">
            <x v="6"/>
          </reference>
          <reference field="10" count="1" selected="0">
            <x v="0"/>
          </reference>
          <reference field="11" count="1">
            <x v="4"/>
          </reference>
          <reference field="12" count="1" selected="0">
            <x v="20"/>
          </reference>
        </references>
      </pivotArea>
    </format>
    <format dxfId="1277">
      <pivotArea dataOnly="0" labelOnly="1" outline="0" fieldPosition="0">
        <references count="7">
          <reference field="0" count="1" selected="0">
            <x v="52"/>
          </reference>
          <reference field="4" count="1" selected="0">
            <x v="1"/>
          </reference>
          <reference field="5" count="1" selected="0">
            <x v="6"/>
          </reference>
          <reference field="8" count="1" selected="0">
            <x v="3"/>
          </reference>
          <reference field="10" count="1" selected="0">
            <x v="0"/>
          </reference>
          <reference field="11" count="1">
            <x v="4"/>
          </reference>
          <reference field="12" count="1" selected="0">
            <x v="21"/>
          </reference>
        </references>
      </pivotArea>
    </format>
    <format dxfId="1276">
      <pivotArea dataOnly="0" labelOnly="1" outline="0" fieldPosition="0">
        <references count="7">
          <reference field="0" count="1" selected="0">
            <x v="53"/>
          </reference>
          <reference field="4" count="1" selected="0">
            <x v="1"/>
          </reference>
          <reference field="5" count="1" selected="0">
            <x v="6"/>
          </reference>
          <reference field="8" count="1" selected="0">
            <x v="6"/>
          </reference>
          <reference field="10" count="1" selected="0">
            <x v="0"/>
          </reference>
          <reference field="11" count="1">
            <x v="0"/>
          </reference>
          <reference field="12" count="1" selected="0">
            <x v="15"/>
          </reference>
        </references>
      </pivotArea>
    </format>
    <format dxfId="1275">
      <pivotArea dataOnly="0" labelOnly="1" outline="0" fieldPosition="0">
        <references count="7">
          <reference field="0" count="1" selected="0">
            <x v="58"/>
          </reference>
          <reference field="4" count="1" selected="0">
            <x v="1"/>
          </reference>
          <reference field="5" count="1" selected="0">
            <x v="6"/>
          </reference>
          <reference field="8" count="1" selected="0">
            <x v="3"/>
          </reference>
          <reference field="10" count="1" selected="0">
            <x v="0"/>
          </reference>
          <reference field="11" count="1">
            <x v="4"/>
          </reference>
          <reference field="12" count="1" selected="0">
            <x v="24"/>
          </reference>
        </references>
      </pivotArea>
    </format>
    <format dxfId="1274">
      <pivotArea dataOnly="0" labelOnly="1" outline="0" fieldPosition="0">
        <references count="7">
          <reference field="0" count="1" selected="0">
            <x v="64"/>
          </reference>
          <reference field="4" count="1" selected="0">
            <x v="1"/>
          </reference>
          <reference field="5" count="1" selected="0">
            <x v="6"/>
          </reference>
          <reference field="8" count="1" selected="0">
            <x v="6"/>
          </reference>
          <reference field="10" count="1" selected="0">
            <x v="0"/>
          </reference>
          <reference field="11" count="1">
            <x v="5"/>
          </reference>
          <reference field="12" count="1" selected="0">
            <x v="35"/>
          </reference>
        </references>
      </pivotArea>
    </format>
    <format dxfId="1273">
      <pivotArea dataOnly="0" labelOnly="1" outline="0" fieldPosition="0">
        <references count="7">
          <reference field="0" count="1" selected="0">
            <x v="65"/>
          </reference>
          <reference field="4" count="1" selected="0">
            <x v="1"/>
          </reference>
          <reference field="5" count="1" selected="0">
            <x v="6"/>
          </reference>
          <reference field="8" count="1" selected="0">
            <x v="7"/>
          </reference>
          <reference field="10" count="1" selected="0">
            <x v="0"/>
          </reference>
          <reference field="11" count="1">
            <x v="0"/>
          </reference>
          <reference field="12" count="1" selected="0">
            <x v="0"/>
          </reference>
        </references>
      </pivotArea>
    </format>
    <format dxfId="1272">
      <pivotArea dataOnly="0" labelOnly="1" outline="0" fieldPosition="0">
        <references count="7">
          <reference field="0" count="1" selected="0">
            <x v="67"/>
          </reference>
          <reference field="4" count="1" selected="0">
            <x v="0"/>
          </reference>
          <reference field="5" count="1" selected="0">
            <x v="7"/>
          </reference>
          <reference field="8" count="1" selected="0">
            <x v="2"/>
          </reference>
          <reference field="10" count="1" selected="0">
            <x v="0"/>
          </reference>
          <reference field="11" count="1">
            <x v="0"/>
          </reference>
          <reference field="12" count="1" selected="0">
            <x v="25"/>
          </reference>
        </references>
      </pivotArea>
    </format>
    <format dxfId="1271">
      <pivotArea dataOnly="0" labelOnly="1" outline="0" fieldPosition="0">
        <references count="7">
          <reference field="0" count="1" selected="0">
            <x v="68"/>
          </reference>
          <reference field="4" count="1" selected="0">
            <x v="0"/>
          </reference>
          <reference field="5" count="1" selected="0">
            <x v="7"/>
          </reference>
          <reference field="8" count="1" selected="0">
            <x v="2"/>
          </reference>
          <reference field="10" count="1" selected="0">
            <x v="0"/>
          </reference>
          <reference field="11" count="1">
            <x v="1"/>
          </reference>
          <reference field="12" count="1" selected="0">
            <x v="26"/>
          </reference>
        </references>
      </pivotArea>
    </format>
    <format dxfId="1270">
      <pivotArea dataOnly="0" labelOnly="1" outline="0" fieldPosition="0">
        <references count="7">
          <reference field="0" count="1" selected="0">
            <x v="69"/>
          </reference>
          <reference field="4" count="1" selected="0">
            <x v="0"/>
          </reference>
          <reference field="5" count="1" selected="0">
            <x v="7"/>
          </reference>
          <reference field="8" count="1" selected="0">
            <x v="2"/>
          </reference>
          <reference field="10" count="1" selected="0">
            <x v="0"/>
          </reference>
          <reference field="11" count="1">
            <x v="0"/>
          </reference>
          <reference field="12" count="1" selected="0">
            <x v="25"/>
          </reference>
        </references>
      </pivotArea>
    </format>
    <format dxfId="1269">
      <pivotArea dataOnly="0" labelOnly="1" outline="0" fieldPosition="0">
        <references count="7">
          <reference field="0" count="1" selected="0">
            <x v="70"/>
          </reference>
          <reference field="4" count="1" selected="0">
            <x v="0"/>
          </reference>
          <reference field="5" count="1" selected="0">
            <x v="8"/>
          </reference>
          <reference field="8" count="1" selected="0">
            <x v="2"/>
          </reference>
          <reference field="10" count="1" selected="0">
            <x v="0"/>
          </reference>
          <reference field="11" count="1">
            <x v="0"/>
          </reference>
          <reference field="12" count="1" selected="0">
            <x v="8"/>
          </reference>
        </references>
      </pivotArea>
    </format>
    <format dxfId="1268">
      <pivotArea dataOnly="0" labelOnly="1" outline="0" fieldPosition="0">
        <references count="7">
          <reference field="0" count="1" selected="0">
            <x v="71"/>
          </reference>
          <reference field="4" count="1" selected="0">
            <x v="0"/>
          </reference>
          <reference field="5" count="1" selected="0">
            <x v="8"/>
          </reference>
          <reference field="8" count="1" selected="0">
            <x v="2"/>
          </reference>
          <reference field="10" count="1" selected="0">
            <x v="0"/>
          </reference>
          <reference field="11" count="1">
            <x v="5"/>
          </reference>
          <reference field="12" count="1" selected="0">
            <x v="20"/>
          </reference>
        </references>
      </pivotArea>
    </format>
    <format dxfId="1267">
      <pivotArea dataOnly="0" labelOnly="1" outline="0" fieldPosition="0">
        <references count="7">
          <reference field="0" count="1" selected="0">
            <x v="72"/>
          </reference>
          <reference field="4" count="1" selected="0">
            <x v="0"/>
          </reference>
          <reference field="5" count="1" selected="0">
            <x v="8"/>
          </reference>
          <reference field="8" count="1" selected="0">
            <x v="2"/>
          </reference>
          <reference field="10" count="1" selected="0">
            <x v="0"/>
          </reference>
          <reference field="11" count="1">
            <x v="0"/>
          </reference>
          <reference field="12" count="1" selected="0">
            <x v="27"/>
          </reference>
        </references>
      </pivotArea>
    </format>
    <format dxfId="1266">
      <pivotArea dataOnly="0" labelOnly="1" outline="0" fieldPosition="0">
        <references count="7">
          <reference field="0" count="1" selected="0">
            <x v="0"/>
          </reference>
          <reference field="4" count="1" selected="0">
            <x v="0"/>
          </reference>
          <reference field="5" count="1" selected="0">
            <x v="9"/>
          </reference>
          <reference field="8" count="1" selected="0">
            <x v="2"/>
          </reference>
          <reference field="10" count="1" selected="0">
            <x v="0"/>
          </reference>
          <reference field="11" count="1">
            <x v="0"/>
          </reference>
          <reference field="12" count="1" selected="0">
            <x v="28"/>
          </reference>
        </references>
      </pivotArea>
    </format>
    <format dxfId="1265">
      <pivotArea dataOnly="0" labelOnly="1" outline="0" fieldPosition="0">
        <references count="7">
          <reference field="0" count="1" selected="0">
            <x v="1"/>
          </reference>
          <reference field="4" count="1" selected="0">
            <x v="0"/>
          </reference>
          <reference field="5" count="1" selected="0">
            <x v="9"/>
          </reference>
          <reference field="8" count="1" selected="0">
            <x v="2"/>
          </reference>
          <reference field="10" count="1" selected="0">
            <x v="0"/>
          </reference>
          <reference field="11" count="1">
            <x v="5"/>
          </reference>
          <reference field="12" count="1" selected="0">
            <x v="31"/>
          </reference>
        </references>
      </pivotArea>
    </format>
    <format dxfId="1264">
      <pivotArea dataOnly="0" labelOnly="1" outline="0" fieldPosition="0">
        <references count="7">
          <reference field="0" count="1" selected="0">
            <x v="2"/>
          </reference>
          <reference field="4" count="1" selected="0">
            <x v="0"/>
          </reference>
          <reference field="5" count="1" selected="0">
            <x v="9"/>
          </reference>
          <reference field="8" count="1" selected="0">
            <x v="2"/>
          </reference>
          <reference field="10" count="1" selected="0">
            <x v="0"/>
          </reference>
          <reference field="11" count="1">
            <x v="0"/>
          </reference>
          <reference field="12" count="1" selected="0">
            <x v="28"/>
          </reference>
        </references>
      </pivotArea>
    </format>
    <format dxfId="1263">
      <pivotArea dataOnly="0" labelOnly="1" outline="0" fieldPosition="0">
        <references count="7">
          <reference field="0" count="1" selected="0">
            <x v="3"/>
          </reference>
          <reference field="4" count="1" selected="0">
            <x v="0"/>
          </reference>
          <reference field="5" count="1" selected="0">
            <x v="10"/>
          </reference>
          <reference field="8" count="1" selected="0">
            <x v="2"/>
          </reference>
          <reference field="10" count="1" selected="0">
            <x v="0"/>
          </reference>
          <reference field="11" count="1">
            <x v="3"/>
          </reference>
          <reference field="12" count="1" selected="0">
            <x v="29"/>
          </reference>
        </references>
      </pivotArea>
    </format>
    <format dxfId="1262">
      <pivotArea dataOnly="0" labelOnly="1" outline="0" fieldPosition="0">
        <references count="7">
          <reference field="0" count="1" selected="0">
            <x v="4"/>
          </reference>
          <reference field="4" count="1" selected="0">
            <x v="0"/>
          </reference>
          <reference field="5" count="1" selected="0">
            <x v="10"/>
          </reference>
          <reference field="8" count="1" selected="0">
            <x v="2"/>
          </reference>
          <reference field="10" count="1" selected="0">
            <x v="0"/>
          </reference>
          <reference field="11" count="1">
            <x v="5"/>
          </reference>
          <reference field="12" count="1" selected="0">
            <x v="32"/>
          </reference>
        </references>
      </pivotArea>
    </format>
    <format dxfId="1261">
      <pivotArea dataOnly="0" labelOnly="1" outline="0" fieldPosition="0">
        <references count="7">
          <reference field="0" count="1" selected="0">
            <x v="5"/>
          </reference>
          <reference field="4" count="1" selected="0">
            <x v="0"/>
          </reference>
          <reference field="5" count="1" selected="0">
            <x v="10"/>
          </reference>
          <reference field="8" count="1" selected="0">
            <x v="2"/>
          </reference>
          <reference field="10" count="1" selected="0">
            <x v="0"/>
          </reference>
          <reference field="11" count="1">
            <x v="3"/>
          </reference>
          <reference field="12" count="1" selected="0">
            <x v="29"/>
          </reference>
        </references>
      </pivotArea>
    </format>
    <format dxfId="1260">
      <pivotArea dataOnly="0" labelOnly="1" outline="0" fieldPosition="0">
        <references count="7">
          <reference field="0" count="1" selected="0">
            <x v="6"/>
          </reference>
          <reference field="4" count="1" selected="0">
            <x v="0"/>
          </reference>
          <reference field="5" count="1" selected="0">
            <x v="11"/>
          </reference>
          <reference field="8" count="1" selected="0">
            <x v="2"/>
          </reference>
          <reference field="10" count="1" selected="0">
            <x v="0"/>
          </reference>
          <reference field="11" count="1">
            <x v="3"/>
          </reference>
          <reference field="12" count="1" selected="0">
            <x v="30"/>
          </reference>
        </references>
      </pivotArea>
    </format>
    <format dxfId="1259">
      <pivotArea dataOnly="0" labelOnly="1" outline="0" fieldPosition="0">
        <references count="7">
          <reference field="0" count="1" selected="0">
            <x v="7"/>
          </reference>
          <reference field="4" count="1" selected="0">
            <x v="0"/>
          </reference>
          <reference field="5" count="1" selected="0">
            <x v="11"/>
          </reference>
          <reference field="8" count="1" selected="0">
            <x v="2"/>
          </reference>
          <reference field="10" count="1" selected="0">
            <x v="0"/>
          </reference>
          <reference field="11" count="1">
            <x v="5"/>
          </reference>
          <reference field="12" count="1" selected="0">
            <x v="32"/>
          </reference>
        </references>
      </pivotArea>
    </format>
    <format dxfId="1258">
      <pivotArea dataOnly="0" labelOnly="1" outline="0" fieldPosition="0">
        <references count="7">
          <reference field="0" count="1" selected="0">
            <x v="8"/>
          </reference>
          <reference field="4" count="1" selected="0">
            <x v="0"/>
          </reference>
          <reference field="5" count="1" selected="0">
            <x v="11"/>
          </reference>
          <reference field="8" count="1" selected="0">
            <x v="2"/>
          </reference>
          <reference field="10" count="1" selected="0">
            <x v="0"/>
          </reference>
          <reference field="11" count="1">
            <x v="3"/>
          </reference>
          <reference field="12" count="1" selected="0">
            <x v="30"/>
          </reference>
        </references>
      </pivotArea>
    </format>
    <format dxfId="1257">
      <pivotArea dataOnly="0" labelOnly="1" outline="0" fieldPosition="0">
        <references count="8">
          <reference field="0" count="1" selected="0">
            <x v="9"/>
          </reference>
          <reference field="4" count="1" selected="0">
            <x v="2"/>
          </reference>
          <reference field="5" count="1" selected="0">
            <x v="0"/>
          </reference>
          <reference field="8" count="1" selected="0">
            <x v="6"/>
          </reference>
          <reference field="10" count="1" selected="0">
            <x v="0"/>
          </reference>
          <reference field="11" count="1" selected="0">
            <x v="4"/>
          </reference>
          <reference field="12" count="1" selected="0">
            <x v="16"/>
          </reference>
          <reference field="13" count="1">
            <x v="5"/>
          </reference>
        </references>
      </pivotArea>
    </format>
    <format dxfId="1256">
      <pivotArea dataOnly="0" labelOnly="1" outline="0" fieldPosition="0">
        <references count="8">
          <reference field="0" count="1" selected="0">
            <x v="10"/>
          </reference>
          <reference field="4" count="1" selected="0">
            <x v="2"/>
          </reference>
          <reference field="5" count="1" selected="0">
            <x v="0"/>
          </reference>
          <reference field="8" count="1" selected="0">
            <x v="6"/>
          </reference>
          <reference field="10" count="1" selected="0">
            <x v="0"/>
          </reference>
          <reference field="11" count="1" selected="0">
            <x v="4"/>
          </reference>
          <reference field="12" count="1" selected="0">
            <x v="14"/>
          </reference>
          <reference field="13" count="1">
            <x v="19"/>
          </reference>
        </references>
      </pivotArea>
    </format>
    <format dxfId="1255">
      <pivotArea dataOnly="0" labelOnly="1" outline="0" fieldPosition="0">
        <references count="8">
          <reference field="0" count="1" selected="0">
            <x v="11"/>
          </reference>
          <reference field="4" count="1" selected="0">
            <x v="2"/>
          </reference>
          <reference field="5" count="1" selected="0">
            <x v="0"/>
          </reference>
          <reference field="8" count="1" selected="0">
            <x v="3"/>
          </reference>
          <reference field="10" count="1" selected="0">
            <x v="0"/>
          </reference>
          <reference field="11" count="1" selected="0">
            <x v="4"/>
          </reference>
          <reference field="12" count="1" selected="0">
            <x v="11"/>
          </reference>
          <reference field="13" count="1">
            <x v="21"/>
          </reference>
        </references>
      </pivotArea>
    </format>
    <format dxfId="1254">
      <pivotArea dataOnly="0" labelOnly="1" outline="0" fieldPosition="0">
        <references count="8">
          <reference field="0" count="1" selected="0">
            <x v="12"/>
          </reference>
          <reference field="4" count="1" selected="0">
            <x v="2"/>
          </reference>
          <reference field="5" count="1" selected="0">
            <x v="0"/>
          </reference>
          <reference field="8" count="1" selected="0">
            <x v="7"/>
          </reference>
          <reference field="10" count="1" selected="0">
            <x v="0"/>
          </reference>
          <reference field="11" count="1" selected="0">
            <x v="0"/>
          </reference>
          <reference field="12" count="1" selected="0">
            <x v="5"/>
          </reference>
          <reference field="13" count="1">
            <x v="7"/>
          </reference>
        </references>
      </pivotArea>
    </format>
    <format dxfId="1253">
      <pivotArea dataOnly="0" labelOnly="1" outline="0" fieldPosition="0">
        <references count="8">
          <reference field="0" count="1" selected="0">
            <x v="12"/>
          </reference>
          <reference field="4" count="1" selected="0">
            <x v="2"/>
          </reference>
          <reference field="5" count="1" selected="0">
            <x v="0"/>
          </reference>
          <reference field="8" count="1" selected="0">
            <x v="7"/>
          </reference>
          <reference field="10" count="1" selected="0">
            <x v="0"/>
          </reference>
          <reference field="11" count="1" selected="0">
            <x v="0"/>
          </reference>
          <reference field="12" count="1" selected="0">
            <x v="8"/>
          </reference>
          <reference field="13" count="1">
            <x v="8"/>
          </reference>
        </references>
      </pivotArea>
    </format>
    <format dxfId="1252">
      <pivotArea dataOnly="0" labelOnly="1" outline="0" fieldPosition="0">
        <references count="8">
          <reference field="0" count="1" selected="0">
            <x v="13"/>
          </reference>
          <reference field="4" count="1" selected="0">
            <x v="2"/>
          </reference>
          <reference field="5" count="1" selected="0">
            <x v="0"/>
          </reference>
          <reference field="8" count="1" selected="0">
            <x v="7"/>
          </reference>
          <reference field="10" count="1" selected="0">
            <x v="0"/>
          </reference>
          <reference field="11" count="1" selected="0">
            <x v="0"/>
          </reference>
          <reference field="12" count="1" selected="0">
            <x v="15"/>
          </reference>
          <reference field="13" count="1">
            <x v="34"/>
          </reference>
        </references>
      </pivotArea>
    </format>
    <format dxfId="1251">
      <pivotArea dataOnly="0" labelOnly="1" outline="0" fieldPosition="0">
        <references count="8">
          <reference field="0" count="1" selected="0">
            <x v="13"/>
          </reference>
          <reference field="4" count="1" selected="0">
            <x v="2"/>
          </reference>
          <reference field="5" count="1" selected="0">
            <x v="0"/>
          </reference>
          <reference field="8" count="1" selected="0">
            <x v="7"/>
          </reference>
          <reference field="10" count="1" selected="0">
            <x v="0"/>
          </reference>
          <reference field="11" count="1" selected="0">
            <x v="1"/>
          </reference>
          <reference field="12" count="1" selected="0">
            <x v="18"/>
          </reference>
          <reference field="13" count="1">
            <x v="24"/>
          </reference>
        </references>
      </pivotArea>
    </format>
    <format dxfId="1250">
      <pivotArea dataOnly="0" labelOnly="1" outline="0" fieldPosition="0">
        <references count="8">
          <reference field="0" count="1" selected="0">
            <x v="14"/>
          </reference>
          <reference field="4" count="1" selected="0">
            <x v="2"/>
          </reference>
          <reference field="5" count="1" selected="0">
            <x v="0"/>
          </reference>
          <reference field="8" count="1" selected="0">
            <x v="5"/>
          </reference>
          <reference field="10" count="1" selected="0">
            <x v="2"/>
          </reference>
          <reference field="11" count="1" selected="0">
            <x v="7"/>
          </reference>
          <reference field="12" count="1" selected="0">
            <x v="34"/>
          </reference>
          <reference field="13" count="1">
            <x v="18"/>
          </reference>
        </references>
      </pivotArea>
    </format>
    <format dxfId="1249">
      <pivotArea dataOnly="0" labelOnly="1" outline="0" fieldPosition="0">
        <references count="8">
          <reference field="0" count="1" selected="0">
            <x v="15"/>
          </reference>
          <reference field="4" count="1" selected="0">
            <x v="2"/>
          </reference>
          <reference field="5" count="1" selected="0">
            <x v="1"/>
          </reference>
          <reference field="8" count="1" selected="0">
            <x v="1"/>
          </reference>
          <reference field="10" count="1" selected="0">
            <x v="0"/>
          </reference>
          <reference field="11" count="1" selected="0">
            <x v="7"/>
          </reference>
          <reference field="12" count="1" selected="0">
            <x v="33"/>
          </reference>
          <reference field="13" count="1">
            <x v="2"/>
          </reference>
        </references>
      </pivotArea>
    </format>
    <format dxfId="1248">
      <pivotArea dataOnly="0" labelOnly="1" outline="0" fieldPosition="0">
        <references count="8">
          <reference field="0" count="1" selected="0">
            <x v="21"/>
          </reference>
          <reference field="4" count="1" selected="0">
            <x v="2"/>
          </reference>
          <reference field="5" count="1" selected="0">
            <x v="2"/>
          </reference>
          <reference field="8" count="1" selected="0">
            <x v="6"/>
          </reference>
          <reference field="10" count="1" selected="0">
            <x v="0"/>
          </reference>
          <reference field="11" count="1" selected="0">
            <x v="2"/>
          </reference>
          <reference field="12" count="1" selected="0">
            <x v="13"/>
          </reference>
          <reference field="13" count="1">
            <x v="4"/>
          </reference>
        </references>
      </pivotArea>
    </format>
    <format dxfId="1247">
      <pivotArea dataOnly="0" labelOnly="1" outline="0" fieldPosition="0">
        <references count="8">
          <reference field="0" count="1" selected="0">
            <x v="22"/>
          </reference>
          <reference field="4" count="1" selected="0">
            <x v="2"/>
          </reference>
          <reference field="5" count="1" selected="0">
            <x v="2"/>
          </reference>
          <reference field="8" count="1" selected="0">
            <x v="6"/>
          </reference>
          <reference field="10" count="1" selected="0">
            <x v="0"/>
          </reference>
          <reference field="11" count="1" selected="0">
            <x v="4"/>
          </reference>
          <reference field="12" count="1" selected="0">
            <x v="17"/>
          </reference>
          <reference field="13" count="1">
            <x v="20"/>
          </reference>
        </references>
      </pivotArea>
    </format>
    <format dxfId="1246">
      <pivotArea dataOnly="0" labelOnly="1" outline="0" fieldPosition="0">
        <references count="8">
          <reference field="0" count="1" selected="0">
            <x v="23"/>
          </reference>
          <reference field="4" count="1" selected="0">
            <x v="2"/>
          </reference>
          <reference field="5" count="1" selected="0">
            <x v="2"/>
          </reference>
          <reference field="8" count="1" selected="0">
            <x v="3"/>
          </reference>
          <reference field="10" count="1" selected="0">
            <x v="0"/>
          </reference>
          <reference field="11" count="1" selected="0">
            <x v="4"/>
          </reference>
          <reference field="12" count="1" selected="0">
            <x v="19"/>
          </reference>
          <reference field="13" count="1">
            <x v="22"/>
          </reference>
        </references>
      </pivotArea>
    </format>
    <format dxfId="1245">
      <pivotArea dataOnly="0" labelOnly="1" outline="0" fieldPosition="0">
        <references count="8">
          <reference field="0" count="1" selected="0">
            <x v="24"/>
          </reference>
          <reference field="4" count="1" selected="0">
            <x v="2"/>
          </reference>
          <reference field="5" count="1" selected="0">
            <x v="2"/>
          </reference>
          <reference field="8" count="1" selected="0">
            <x v="7"/>
          </reference>
          <reference field="10" count="1" selected="0">
            <x v="0"/>
          </reference>
          <reference field="11" count="1" selected="0">
            <x v="0"/>
          </reference>
          <reference field="12" count="1" selected="0">
            <x v="0"/>
          </reference>
          <reference field="13" count="1">
            <x v="10"/>
          </reference>
        </references>
      </pivotArea>
    </format>
    <format dxfId="1244">
      <pivotArea dataOnly="0" labelOnly="1" outline="0" fieldPosition="0">
        <references count="8">
          <reference field="0" count="1" selected="0">
            <x v="24"/>
          </reference>
          <reference field="4" count="1" selected="0">
            <x v="2"/>
          </reference>
          <reference field="5" count="1" selected="0">
            <x v="2"/>
          </reference>
          <reference field="8" count="1" selected="0">
            <x v="7"/>
          </reference>
          <reference field="10" count="1" selected="0">
            <x v="0"/>
          </reference>
          <reference field="11" count="1" selected="0">
            <x v="0"/>
          </reference>
          <reference field="12" count="1" selected="0">
            <x v="1"/>
          </reference>
          <reference field="13" count="1">
            <x v="25"/>
          </reference>
        </references>
      </pivotArea>
    </format>
    <format dxfId="1243">
      <pivotArea dataOnly="0" labelOnly="1" outline="0" fieldPosition="0">
        <references count="8">
          <reference field="0" count="1" selected="0">
            <x v="25"/>
          </reference>
          <reference field="4" count="1" selected="0">
            <x v="2"/>
          </reference>
          <reference field="5" count="1" selected="0">
            <x v="2"/>
          </reference>
          <reference field="8" count="1" selected="0">
            <x v="7"/>
          </reference>
          <reference field="10" count="1" selected="0">
            <x v="0"/>
          </reference>
          <reference field="11" count="1" selected="0">
            <x v="0"/>
          </reference>
          <reference field="12" count="1" selected="0">
            <x v="15"/>
          </reference>
          <reference field="13" count="1">
            <x v="34"/>
          </reference>
        </references>
      </pivotArea>
    </format>
    <format dxfId="1242">
      <pivotArea dataOnly="0" labelOnly="1" outline="0" fieldPosition="0">
        <references count="8">
          <reference field="0" count="1" selected="0">
            <x v="25"/>
          </reference>
          <reference field="4" count="1" selected="0">
            <x v="2"/>
          </reference>
          <reference field="5" count="1" selected="0">
            <x v="2"/>
          </reference>
          <reference field="8" count="1" selected="0">
            <x v="7"/>
          </reference>
          <reference field="10" count="1" selected="0">
            <x v="0"/>
          </reference>
          <reference field="11" count="1" selected="0">
            <x v="1"/>
          </reference>
          <reference field="12" count="1" selected="0">
            <x v="18"/>
          </reference>
          <reference field="13" count="1">
            <x v="24"/>
          </reference>
        </references>
      </pivotArea>
    </format>
    <format dxfId="1241">
      <pivotArea dataOnly="0" labelOnly="1" outline="0" fieldPosition="0">
        <references count="8">
          <reference field="0" count="1" selected="0">
            <x v="26"/>
          </reference>
          <reference field="4" count="1" selected="0">
            <x v="2"/>
          </reference>
          <reference field="5" count="1" selected="0">
            <x v="2"/>
          </reference>
          <reference field="8" count="1" selected="0">
            <x v="5"/>
          </reference>
          <reference field="10" count="1" selected="0">
            <x v="2"/>
          </reference>
          <reference field="11" count="1" selected="0">
            <x v="7"/>
          </reference>
          <reference field="12" count="1" selected="0">
            <x v="34"/>
          </reference>
          <reference field="13" count="1">
            <x v="18"/>
          </reference>
        </references>
      </pivotArea>
    </format>
    <format dxfId="1240">
      <pivotArea dataOnly="0" labelOnly="1" outline="0" fieldPosition="0">
        <references count="8">
          <reference field="0" count="1" selected="0">
            <x v="27"/>
          </reference>
          <reference field="4" count="1" selected="0">
            <x v="2"/>
          </reference>
          <reference field="5" count="1" selected="0">
            <x v="3"/>
          </reference>
          <reference field="8" count="1" selected="0">
            <x v="7"/>
          </reference>
          <reference field="10" count="1" selected="0">
            <x v="0"/>
          </reference>
          <reference field="11" count="1" selected="0">
            <x v="6"/>
          </reference>
          <reference field="12" count="1" selected="0">
            <x v="6"/>
          </reference>
          <reference field="13" count="1">
            <x v="33"/>
          </reference>
        </references>
      </pivotArea>
    </format>
    <format dxfId="1239">
      <pivotArea dataOnly="0" labelOnly="1" outline="0" fieldPosition="0">
        <references count="8">
          <reference field="0" count="1" selected="0">
            <x v="28"/>
          </reference>
          <reference field="4" count="1" selected="0">
            <x v="2"/>
          </reference>
          <reference field="5" count="1" selected="0">
            <x v="3"/>
          </reference>
          <reference field="8" count="1" selected="0">
            <x v="7"/>
          </reference>
          <reference field="10" count="1" selected="0">
            <x v="0"/>
          </reference>
          <reference field="11" count="1" selected="0">
            <x v="6"/>
          </reference>
          <reference field="12" count="1" selected="0">
            <x v="7"/>
          </reference>
          <reference field="13" count="1">
            <x v="15"/>
          </reference>
        </references>
      </pivotArea>
    </format>
    <format dxfId="1238">
      <pivotArea dataOnly="0" labelOnly="1" outline="0" fieldPosition="0">
        <references count="8">
          <reference field="0" count="1" selected="0">
            <x v="29"/>
          </reference>
          <reference field="4" count="1" selected="0">
            <x v="2"/>
          </reference>
          <reference field="5" count="1" selected="0">
            <x v="3"/>
          </reference>
          <reference field="8" count="1" selected="0">
            <x v="3"/>
          </reference>
          <reference field="10" count="1" selected="0">
            <x v="0"/>
          </reference>
          <reference field="11" count="1" selected="0">
            <x v="4"/>
          </reference>
          <reference field="12" count="1" selected="0">
            <x v="11"/>
          </reference>
          <reference field="13" count="1">
            <x v="21"/>
          </reference>
        </references>
      </pivotArea>
    </format>
    <format dxfId="1237">
      <pivotArea dataOnly="0" labelOnly="1" outline="0" fieldPosition="0">
        <references count="8">
          <reference field="0" count="1" selected="0">
            <x v="30"/>
          </reference>
          <reference field="4" count="1" selected="0">
            <x v="2"/>
          </reference>
          <reference field="5" count="1" selected="0">
            <x v="3"/>
          </reference>
          <reference field="8" count="1" selected="0">
            <x v="4"/>
          </reference>
          <reference field="10" count="1" selected="0">
            <x v="1"/>
          </reference>
          <reference field="11" count="1" selected="0">
            <x v="0"/>
          </reference>
          <reference field="12" count="1" selected="0">
            <x v="5"/>
          </reference>
          <reference field="13" count="1">
            <x v="7"/>
          </reference>
        </references>
      </pivotArea>
    </format>
    <format dxfId="1236">
      <pivotArea dataOnly="0" labelOnly="1" outline="0" fieldPosition="0">
        <references count="8">
          <reference field="0" count="1" selected="0">
            <x v="30"/>
          </reference>
          <reference field="4" count="1" selected="0">
            <x v="2"/>
          </reference>
          <reference field="5" count="1" selected="0">
            <x v="3"/>
          </reference>
          <reference field="8" count="1" selected="0">
            <x v="4"/>
          </reference>
          <reference field="10" count="1" selected="0">
            <x v="1"/>
          </reference>
          <reference field="11" count="1" selected="0">
            <x v="0"/>
          </reference>
          <reference field="12" count="1" selected="0">
            <x v="8"/>
          </reference>
          <reference field="13" count="1">
            <x v="8"/>
          </reference>
        </references>
      </pivotArea>
    </format>
    <format dxfId="1235">
      <pivotArea dataOnly="0" labelOnly="1" outline="0" fieldPosition="0">
        <references count="8">
          <reference field="0" count="1" selected="0">
            <x v="31"/>
          </reference>
          <reference field="4" count="1" selected="0">
            <x v="2"/>
          </reference>
          <reference field="5" count="1" selected="0">
            <x v="3"/>
          </reference>
          <reference field="8" count="1" selected="0">
            <x v="0"/>
          </reference>
          <reference field="10" count="1" selected="0">
            <x v="0"/>
          </reference>
          <reference field="11" count="1" selected="0">
            <x v="6"/>
          </reference>
          <reference field="12" count="1" selected="0">
            <x v="9"/>
          </reference>
          <reference field="13" count="1">
            <x v="26"/>
          </reference>
        </references>
      </pivotArea>
    </format>
    <format dxfId="1234">
      <pivotArea dataOnly="0" labelOnly="1" outline="0" fieldPosition="0">
        <references count="8">
          <reference field="0" count="1" selected="0">
            <x v="32"/>
          </reference>
          <reference field="4" count="1" selected="0">
            <x v="2"/>
          </reference>
          <reference field="5" count="1" selected="0">
            <x v="3"/>
          </reference>
          <reference field="8" count="1" selected="0">
            <x v="0"/>
          </reference>
          <reference field="10" count="1" selected="0">
            <x v="0"/>
          </reference>
          <reference field="11" count="1" selected="0">
            <x v="6"/>
          </reference>
          <reference field="12" count="1" selected="0">
            <x v="10"/>
          </reference>
          <reference field="13" count="1">
            <x v="27"/>
          </reference>
        </references>
      </pivotArea>
    </format>
    <format dxfId="1233">
      <pivotArea dataOnly="0" labelOnly="1" outline="0" fieldPosition="0">
        <references count="8">
          <reference field="0" count="1" selected="0">
            <x v="35"/>
          </reference>
          <reference field="4" count="1" selected="0">
            <x v="1"/>
          </reference>
          <reference field="5" count="1" selected="0">
            <x v="4"/>
          </reference>
          <reference field="8" count="1" selected="0">
            <x v="3"/>
          </reference>
          <reference field="10" count="1" selected="0">
            <x v="1"/>
          </reference>
          <reference field="11" count="1" selected="0">
            <x v="4"/>
          </reference>
          <reference field="12" count="1" selected="0">
            <x v="4"/>
          </reference>
          <reference field="13" count="1">
            <x v="31"/>
          </reference>
        </references>
      </pivotArea>
    </format>
    <format dxfId="1232">
      <pivotArea dataOnly="0" labelOnly="1" outline="0" fieldPosition="0">
        <references count="8">
          <reference field="0" count="1" selected="0">
            <x v="36"/>
          </reference>
          <reference field="4" count="1" selected="0">
            <x v="1"/>
          </reference>
          <reference field="5" count="1" selected="0">
            <x v="4"/>
          </reference>
          <reference field="8" count="1" selected="0">
            <x v="3"/>
          </reference>
          <reference field="10" count="1" selected="0">
            <x v="1"/>
          </reference>
          <reference field="11" count="1" selected="0">
            <x v="4"/>
          </reference>
          <reference field="12" count="1" selected="0">
            <x v="3"/>
          </reference>
          <reference field="13" count="1">
            <x v="16"/>
          </reference>
        </references>
      </pivotArea>
    </format>
    <format dxfId="1231">
      <pivotArea dataOnly="0" labelOnly="1" outline="0" fieldPosition="0">
        <references count="8">
          <reference field="0" count="1" selected="0">
            <x v="37"/>
          </reference>
          <reference field="4" count="1" selected="0">
            <x v="1"/>
          </reference>
          <reference field="5" count="1" selected="0">
            <x v="4"/>
          </reference>
          <reference field="8" count="1" selected="0">
            <x v="5"/>
          </reference>
          <reference field="10" count="1" selected="0">
            <x v="2"/>
          </reference>
          <reference field="11" count="1" selected="0">
            <x v="7"/>
          </reference>
          <reference field="12" count="1" selected="0">
            <x v="34"/>
          </reference>
          <reference field="13" count="1">
            <x v="18"/>
          </reference>
        </references>
      </pivotArea>
    </format>
    <format dxfId="1230">
      <pivotArea dataOnly="0" labelOnly="1" outline="0" fieldPosition="0">
        <references count="8">
          <reference field="0" count="1" selected="0">
            <x v="38"/>
          </reference>
          <reference field="4" count="1" selected="0">
            <x v="1"/>
          </reference>
          <reference field="5" count="1" selected="0">
            <x v="4"/>
          </reference>
          <reference field="8" count="1" selected="0">
            <x v="4"/>
          </reference>
          <reference field="10" count="1" selected="0">
            <x v="1"/>
          </reference>
          <reference field="11" count="1" selected="0">
            <x v="0"/>
          </reference>
          <reference field="12" count="1" selected="0">
            <x v="0"/>
          </reference>
          <reference field="13" count="1">
            <x v="10"/>
          </reference>
        </references>
      </pivotArea>
    </format>
    <format dxfId="1229">
      <pivotArea dataOnly="0" labelOnly="1" outline="0" fieldPosition="0">
        <references count="8">
          <reference field="0" count="1" selected="0">
            <x v="38"/>
          </reference>
          <reference field="4" count="1" selected="0">
            <x v="1"/>
          </reference>
          <reference field="5" count="1" selected="0">
            <x v="4"/>
          </reference>
          <reference field="8" count="1" selected="0">
            <x v="4"/>
          </reference>
          <reference field="10" count="1" selected="0">
            <x v="1"/>
          </reference>
          <reference field="11" count="1" selected="0">
            <x v="0"/>
          </reference>
          <reference field="12" count="1" selected="0">
            <x v="1"/>
          </reference>
          <reference field="13" count="1">
            <x v="25"/>
          </reference>
        </references>
      </pivotArea>
    </format>
    <format dxfId="1228">
      <pivotArea dataOnly="0" labelOnly="1" outline="0" fieldPosition="0">
        <references count="8">
          <reference field="0" count="1" selected="0">
            <x v="38"/>
          </reference>
          <reference field="4" count="1" selected="0">
            <x v="1"/>
          </reference>
          <reference field="5" count="1" selected="0">
            <x v="4"/>
          </reference>
          <reference field="8" count="1" selected="0">
            <x v="4"/>
          </reference>
          <reference field="10" count="1" selected="0">
            <x v="1"/>
          </reference>
          <reference field="11" count="1" selected="0">
            <x v="0"/>
          </reference>
          <reference field="12" count="1" selected="0">
            <x v="2"/>
          </reference>
          <reference field="13" count="1">
            <x v="3"/>
          </reference>
        </references>
      </pivotArea>
    </format>
    <format dxfId="1227">
      <pivotArea dataOnly="0" labelOnly="1" outline="0" fieldPosition="0">
        <references count="8">
          <reference field="0" count="1" selected="0">
            <x v="39"/>
          </reference>
          <reference field="4" count="1" selected="0">
            <x v="1"/>
          </reference>
          <reference field="5" count="1" selected="0">
            <x v="5"/>
          </reference>
          <reference field="8" count="1" selected="0">
            <x v="6"/>
          </reference>
          <reference field="10" count="1" selected="0">
            <x v="0"/>
          </reference>
          <reference field="11" count="1" selected="0">
            <x v="1"/>
          </reference>
          <reference field="12" count="1" selected="0">
            <x v="22"/>
          </reference>
          <reference field="13" count="1">
            <x v="1"/>
          </reference>
        </references>
      </pivotArea>
    </format>
    <format dxfId="1226">
      <pivotArea dataOnly="0" labelOnly="1" outline="0" fieldPosition="0">
        <references count="8">
          <reference field="0" count="1" selected="0">
            <x v="40"/>
          </reference>
          <reference field="4" count="1" selected="0">
            <x v="1"/>
          </reference>
          <reference field="5" count="1" selected="0">
            <x v="5"/>
          </reference>
          <reference field="8" count="1" selected="0">
            <x v="3"/>
          </reference>
          <reference field="10" count="1" selected="0">
            <x v="0"/>
          </reference>
          <reference field="11" count="1" selected="0">
            <x v="6"/>
          </reference>
          <reference field="12" count="1" selected="0">
            <x v="12"/>
          </reference>
          <reference field="13" count="1">
            <x v="28"/>
          </reference>
        </references>
      </pivotArea>
    </format>
    <format dxfId="1225">
      <pivotArea dataOnly="0" labelOnly="1" outline="0" fieldPosition="0">
        <references count="8">
          <reference field="0" count="1" selected="0">
            <x v="43"/>
          </reference>
          <reference field="4" count="1" selected="0">
            <x v="1"/>
          </reference>
          <reference field="5" count="1" selected="0">
            <x v="5"/>
          </reference>
          <reference field="8" count="1" selected="0">
            <x v="3"/>
          </reference>
          <reference field="10" count="1" selected="0">
            <x v="0"/>
          </reference>
          <reference field="11" count="1" selected="0">
            <x v="4"/>
          </reference>
          <reference field="12" count="1" selected="0">
            <x v="21"/>
          </reference>
          <reference field="13" count="1">
            <x v="17"/>
          </reference>
        </references>
      </pivotArea>
    </format>
    <format dxfId="1224">
      <pivotArea dataOnly="0" labelOnly="1" outline="0" fieldPosition="0">
        <references count="8">
          <reference field="0" count="1" selected="0">
            <x v="44"/>
          </reference>
          <reference field="4" count="1" selected="0">
            <x v="1"/>
          </reference>
          <reference field="5" count="1" selected="0">
            <x v="5"/>
          </reference>
          <reference field="8" count="1" selected="0">
            <x v="3"/>
          </reference>
          <reference field="10" count="1" selected="0">
            <x v="0"/>
          </reference>
          <reference field="11" count="1" selected="0">
            <x v="1"/>
          </reference>
          <reference field="12" count="1" selected="0">
            <x v="13"/>
          </reference>
          <reference field="13" count="1">
            <x v="4"/>
          </reference>
        </references>
      </pivotArea>
    </format>
    <format dxfId="1223">
      <pivotArea dataOnly="0" labelOnly="1" outline="0" fieldPosition="0">
        <references count="8">
          <reference field="0" count="1" selected="0">
            <x v="44"/>
          </reference>
          <reference field="4" count="1" selected="0">
            <x v="1"/>
          </reference>
          <reference field="5" count="1" selected="0">
            <x v="5"/>
          </reference>
          <reference field="8" count="1" selected="0">
            <x v="3"/>
          </reference>
          <reference field="10" count="1" selected="0">
            <x v="0"/>
          </reference>
          <reference field="11" count="1" selected="0">
            <x v="1"/>
          </reference>
          <reference field="12" count="1" selected="0">
            <x v="16"/>
          </reference>
          <reference field="13" count="1">
            <x v="5"/>
          </reference>
        </references>
      </pivotArea>
    </format>
    <format dxfId="1222">
      <pivotArea dataOnly="0" labelOnly="1" outline="0" fieldPosition="0">
        <references count="8">
          <reference field="0" count="1" selected="0">
            <x v="49"/>
          </reference>
          <reference field="4" count="1" selected="0">
            <x v="1"/>
          </reference>
          <reference field="5" count="1" selected="0">
            <x v="5"/>
          </reference>
          <reference field="8" count="1" selected="0">
            <x v="7"/>
          </reference>
          <reference field="10" count="1" selected="0">
            <x v="0"/>
          </reference>
          <reference field="11" count="1" selected="0">
            <x v="0"/>
          </reference>
          <reference field="12" count="1" selected="0">
            <x v="15"/>
          </reference>
          <reference field="13" count="1">
            <x v="34"/>
          </reference>
        </references>
      </pivotArea>
    </format>
    <format dxfId="1221">
      <pivotArea dataOnly="0" labelOnly="1" outline="0" fieldPosition="0">
        <references count="8">
          <reference field="0" count="1" selected="0">
            <x v="50"/>
          </reference>
          <reference field="4" count="1" selected="0">
            <x v="1"/>
          </reference>
          <reference field="5" count="1" selected="0">
            <x v="5"/>
          </reference>
          <reference field="8" count="1" selected="0">
            <x v="6"/>
          </reference>
          <reference field="10" count="1" selected="0">
            <x v="0"/>
          </reference>
          <reference field="11" count="1" selected="0">
            <x v="4"/>
          </reference>
          <reference field="12" count="1" selected="0">
            <x v="20"/>
          </reference>
          <reference field="13" count="1">
            <x v="35"/>
          </reference>
        </references>
      </pivotArea>
    </format>
    <format dxfId="1220">
      <pivotArea dataOnly="0" labelOnly="1" outline="0" fieldPosition="0">
        <references count="8">
          <reference field="0" count="1" selected="0">
            <x v="52"/>
          </reference>
          <reference field="4" count="1" selected="0">
            <x v="1"/>
          </reference>
          <reference field="5" count="1" selected="0">
            <x v="6"/>
          </reference>
          <reference field="8" count="1" selected="0">
            <x v="3"/>
          </reference>
          <reference field="10" count="1" selected="0">
            <x v="0"/>
          </reference>
          <reference field="11" count="1" selected="0">
            <x v="4"/>
          </reference>
          <reference field="12" count="1" selected="0">
            <x v="21"/>
          </reference>
          <reference field="13" count="1">
            <x v="17"/>
          </reference>
        </references>
      </pivotArea>
    </format>
    <format dxfId="1219">
      <pivotArea dataOnly="0" labelOnly="1" outline="0" fieldPosition="0">
        <references count="8">
          <reference field="0" count="1" selected="0">
            <x v="53"/>
          </reference>
          <reference field="4" count="1" selected="0">
            <x v="1"/>
          </reference>
          <reference field="5" count="1" selected="0">
            <x v="6"/>
          </reference>
          <reference field="8" count="1" selected="0">
            <x v="6"/>
          </reference>
          <reference field="10" count="1" selected="0">
            <x v="0"/>
          </reference>
          <reference field="11" count="1" selected="0">
            <x v="0"/>
          </reference>
          <reference field="12" count="1" selected="0">
            <x v="15"/>
          </reference>
          <reference field="13" count="1">
            <x v="34"/>
          </reference>
        </references>
      </pivotArea>
    </format>
    <format dxfId="1218">
      <pivotArea dataOnly="0" labelOnly="1" outline="0" fieldPosition="0">
        <references count="8">
          <reference field="0" count="1" selected="0">
            <x v="58"/>
          </reference>
          <reference field="4" count="1" selected="0">
            <x v="1"/>
          </reference>
          <reference field="5" count="1" selected="0">
            <x v="6"/>
          </reference>
          <reference field="8" count="1" selected="0">
            <x v="3"/>
          </reference>
          <reference field="10" count="1" selected="0">
            <x v="0"/>
          </reference>
          <reference field="11" count="1" selected="0">
            <x v="4"/>
          </reference>
          <reference field="12" count="1" selected="0">
            <x v="24"/>
          </reference>
          <reference field="13" count="1">
            <x v="9"/>
          </reference>
        </references>
      </pivotArea>
    </format>
    <format dxfId="1217">
      <pivotArea dataOnly="0" labelOnly="1" outline="0" fieldPosition="0">
        <references count="8">
          <reference field="0" count="1" selected="0">
            <x v="64"/>
          </reference>
          <reference field="4" count="1" selected="0">
            <x v="1"/>
          </reference>
          <reference field="5" count="1" selected="0">
            <x v="6"/>
          </reference>
          <reference field="8" count="1" selected="0">
            <x v="6"/>
          </reference>
          <reference field="10" count="1" selected="0">
            <x v="0"/>
          </reference>
          <reference field="11" count="1" selected="0">
            <x v="5"/>
          </reference>
          <reference field="12" count="1" selected="0">
            <x v="35"/>
          </reference>
          <reference field="13" count="1">
            <x v="36"/>
          </reference>
        </references>
      </pivotArea>
    </format>
    <format dxfId="1216">
      <pivotArea dataOnly="0" labelOnly="1" outline="0" fieldPosition="0">
        <references count="8">
          <reference field="0" count="1" selected="0">
            <x v="65"/>
          </reference>
          <reference field="4" count="1" selected="0">
            <x v="1"/>
          </reference>
          <reference field="5" count="1" selected="0">
            <x v="6"/>
          </reference>
          <reference field="8" count="1" selected="0">
            <x v="7"/>
          </reference>
          <reference field="10" count="1" selected="0">
            <x v="0"/>
          </reference>
          <reference field="11" count="1" selected="0">
            <x v="0"/>
          </reference>
          <reference field="12" count="1" selected="0">
            <x v="0"/>
          </reference>
          <reference field="13" count="1">
            <x v="10"/>
          </reference>
        </references>
      </pivotArea>
    </format>
    <format dxfId="1215">
      <pivotArea dataOnly="0" labelOnly="1" outline="0" fieldPosition="0">
        <references count="8">
          <reference field="0" count="1" selected="0">
            <x v="65"/>
          </reference>
          <reference field="4" count="1" selected="0">
            <x v="1"/>
          </reference>
          <reference field="5" count="1" selected="0">
            <x v="6"/>
          </reference>
          <reference field="8" count="1" selected="0">
            <x v="7"/>
          </reference>
          <reference field="10" count="1" selected="0">
            <x v="0"/>
          </reference>
          <reference field="11" count="1" selected="0">
            <x v="0"/>
          </reference>
          <reference field="12" count="1" selected="0">
            <x v="1"/>
          </reference>
          <reference field="13" count="1">
            <x v="25"/>
          </reference>
        </references>
      </pivotArea>
    </format>
    <format dxfId="1214">
      <pivotArea dataOnly="0" labelOnly="1" outline="0" fieldPosition="0">
        <references count="8">
          <reference field="0" count="1" selected="0">
            <x v="67"/>
          </reference>
          <reference field="4" count="1" selected="0">
            <x v="0"/>
          </reference>
          <reference field="5" count="1" selected="0">
            <x v="7"/>
          </reference>
          <reference field="8" count="1" selected="0">
            <x v="2"/>
          </reference>
          <reference field="10" count="1" selected="0">
            <x v="0"/>
          </reference>
          <reference field="11" count="1" selected="0">
            <x v="0"/>
          </reference>
          <reference field="12" count="1" selected="0">
            <x v="25"/>
          </reference>
          <reference field="13" count="1">
            <x v="12"/>
          </reference>
        </references>
      </pivotArea>
    </format>
    <format dxfId="1213">
      <pivotArea dataOnly="0" labelOnly="1" outline="0" fieldPosition="0">
        <references count="8">
          <reference field="0" count="1" selected="0">
            <x v="68"/>
          </reference>
          <reference field="4" count="1" selected="0">
            <x v="0"/>
          </reference>
          <reference field="5" count="1" selected="0">
            <x v="7"/>
          </reference>
          <reference field="8" count="1" selected="0">
            <x v="2"/>
          </reference>
          <reference field="10" count="1" selected="0">
            <x v="0"/>
          </reference>
          <reference field="11" count="1" selected="0">
            <x v="1"/>
          </reference>
          <reference field="12" count="1" selected="0">
            <x v="26"/>
          </reference>
          <reference field="13" count="1">
            <x v="13"/>
          </reference>
        </references>
      </pivotArea>
    </format>
    <format dxfId="1212">
      <pivotArea dataOnly="0" labelOnly="1" outline="0" fieldPosition="0">
        <references count="8">
          <reference field="0" count="1" selected="0">
            <x v="69"/>
          </reference>
          <reference field="4" count="1" selected="0">
            <x v="0"/>
          </reference>
          <reference field="5" count="1" selected="0">
            <x v="7"/>
          </reference>
          <reference field="8" count="1" selected="0">
            <x v="2"/>
          </reference>
          <reference field="10" count="1" selected="0">
            <x v="0"/>
          </reference>
          <reference field="11" count="1" selected="0">
            <x v="0"/>
          </reference>
          <reference field="12" count="1" selected="0">
            <x v="25"/>
          </reference>
          <reference field="13" count="1">
            <x v="12"/>
          </reference>
        </references>
      </pivotArea>
    </format>
    <format dxfId="1211">
      <pivotArea dataOnly="0" labelOnly="1" outline="0" fieldPosition="0">
        <references count="8">
          <reference field="0" count="1" selected="0">
            <x v="70"/>
          </reference>
          <reference field="4" count="1" selected="0">
            <x v="0"/>
          </reference>
          <reference field="5" count="1" selected="0">
            <x v="8"/>
          </reference>
          <reference field="8" count="1" selected="0">
            <x v="2"/>
          </reference>
          <reference field="10" count="1" selected="0">
            <x v="0"/>
          </reference>
          <reference field="11" count="1" selected="0">
            <x v="0"/>
          </reference>
          <reference field="12" count="1" selected="0">
            <x v="8"/>
          </reference>
          <reference field="13" count="1">
            <x v="8"/>
          </reference>
        </references>
      </pivotArea>
    </format>
    <format dxfId="1210">
      <pivotArea dataOnly="0" labelOnly="1" outline="0" fieldPosition="0">
        <references count="8">
          <reference field="0" count="1" selected="0">
            <x v="71"/>
          </reference>
          <reference field="4" count="1" selected="0">
            <x v="0"/>
          </reference>
          <reference field="5" count="1" selected="0">
            <x v="8"/>
          </reference>
          <reference field="8" count="1" selected="0">
            <x v="2"/>
          </reference>
          <reference field="10" count="1" selected="0">
            <x v="0"/>
          </reference>
          <reference field="11" count="1" selected="0">
            <x v="5"/>
          </reference>
          <reference field="12" count="1" selected="0">
            <x v="20"/>
          </reference>
          <reference field="13" count="1">
            <x v="35"/>
          </reference>
        </references>
      </pivotArea>
    </format>
    <format dxfId="1209">
      <pivotArea dataOnly="0" labelOnly="1" outline="0" fieldPosition="0">
        <references count="8">
          <reference field="0" count="1" selected="0">
            <x v="72"/>
          </reference>
          <reference field="4" count="1" selected="0">
            <x v="0"/>
          </reference>
          <reference field="5" count="1" selected="0">
            <x v="8"/>
          </reference>
          <reference field="8" count="1" selected="0">
            <x v="2"/>
          </reference>
          <reference field="10" count="1" selected="0">
            <x v="0"/>
          </reference>
          <reference field="11" count="1" selected="0">
            <x v="0"/>
          </reference>
          <reference field="12" count="1" selected="0">
            <x v="27"/>
          </reference>
          <reference field="13" count="1">
            <x v="6"/>
          </reference>
        </references>
      </pivotArea>
    </format>
    <format dxfId="1208">
      <pivotArea dataOnly="0" labelOnly="1" outline="0" fieldPosition="0">
        <references count="8">
          <reference field="0" count="1" selected="0">
            <x v="0"/>
          </reference>
          <reference field="4" count="1" selected="0">
            <x v="0"/>
          </reference>
          <reference field="5" count="1" selected="0">
            <x v="9"/>
          </reference>
          <reference field="8" count="1" selected="0">
            <x v="2"/>
          </reference>
          <reference field="10" count="1" selected="0">
            <x v="0"/>
          </reference>
          <reference field="11" count="1" selected="0">
            <x v="0"/>
          </reference>
          <reference field="12" count="1" selected="0">
            <x v="28"/>
          </reference>
          <reference field="13" count="1">
            <x v="32"/>
          </reference>
        </references>
      </pivotArea>
    </format>
    <format dxfId="1207">
      <pivotArea dataOnly="0" labelOnly="1" outline="0" fieldPosition="0">
        <references count="8">
          <reference field="0" count="1" selected="0">
            <x v="1"/>
          </reference>
          <reference field="4" count="1" selected="0">
            <x v="0"/>
          </reference>
          <reference field="5" count="1" selected="0">
            <x v="9"/>
          </reference>
          <reference field="8" count="1" selected="0">
            <x v="2"/>
          </reference>
          <reference field="10" count="1" selected="0">
            <x v="0"/>
          </reference>
          <reference field="11" count="1" selected="0">
            <x v="5"/>
          </reference>
          <reference field="12" count="1" selected="0">
            <x v="31"/>
          </reference>
          <reference field="13" count="1">
            <x v="14"/>
          </reference>
        </references>
      </pivotArea>
    </format>
    <format dxfId="1206">
      <pivotArea dataOnly="0" labelOnly="1" outline="0" fieldPosition="0">
        <references count="8">
          <reference field="0" count="1" selected="0">
            <x v="2"/>
          </reference>
          <reference field="4" count="1" selected="0">
            <x v="0"/>
          </reference>
          <reference field="5" count="1" selected="0">
            <x v="9"/>
          </reference>
          <reference field="8" count="1" selected="0">
            <x v="2"/>
          </reference>
          <reference field="10" count="1" selected="0">
            <x v="0"/>
          </reference>
          <reference field="11" count="1" selected="0">
            <x v="0"/>
          </reference>
          <reference field="12" count="1" selected="0">
            <x v="28"/>
          </reference>
          <reference field="13" count="1">
            <x v="32"/>
          </reference>
        </references>
      </pivotArea>
    </format>
    <format dxfId="1205">
      <pivotArea dataOnly="0" labelOnly="1" outline="0" fieldPosition="0">
        <references count="8">
          <reference field="0" count="1" selected="0">
            <x v="3"/>
          </reference>
          <reference field="4" count="1" selected="0">
            <x v="0"/>
          </reference>
          <reference field="5" count="1" selected="0">
            <x v="10"/>
          </reference>
          <reference field="8" count="1" selected="0">
            <x v="2"/>
          </reference>
          <reference field="10" count="1" selected="0">
            <x v="0"/>
          </reference>
          <reference field="11" count="1" selected="0">
            <x v="3"/>
          </reference>
          <reference field="12" count="1" selected="0">
            <x v="29"/>
          </reference>
          <reference field="13" count="1">
            <x v="30"/>
          </reference>
        </references>
      </pivotArea>
    </format>
    <format dxfId="1204">
      <pivotArea dataOnly="0" labelOnly="1" outline="0" fieldPosition="0">
        <references count="8">
          <reference field="0" count="1" selected="0">
            <x v="4"/>
          </reference>
          <reference field="4" count="1" selected="0">
            <x v="0"/>
          </reference>
          <reference field="5" count="1" selected="0">
            <x v="10"/>
          </reference>
          <reference field="8" count="1" selected="0">
            <x v="2"/>
          </reference>
          <reference field="10" count="1" selected="0">
            <x v="0"/>
          </reference>
          <reference field="11" count="1" selected="0">
            <x v="5"/>
          </reference>
          <reference field="12" count="1" selected="0">
            <x v="32"/>
          </reference>
          <reference field="13" count="1">
            <x v="23"/>
          </reference>
        </references>
      </pivotArea>
    </format>
    <format dxfId="1203">
      <pivotArea dataOnly="0" labelOnly="1" outline="0" fieldPosition="0">
        <references count="8">
          <reference field="0" count="1" selected="0">
            <x v="5"/>
          </reference>
          <reference field="4" count="1" selected="0">
            <x v="0"/>
          </reference>
          <reference field="5" count="1" selected="0">
            <x v="10"/>
          </reference>
          <reference field="8" count="1" selected="0">
            <x v="2"/>
          </reference>
          <reference field="10" count="1" selected="0">
            <x v="0"/>
          </reference>
          <reference field="11" count="1" selected="0">
            <x v="3"/>
          </reference>
          <reference field="12" count="1" selected="0">
            <x v="29"/>
          </reference>
          <reference field="13" count="1">
            <x v="30"/>
          </reference>
        </references>
      </pivotArea>
    </format>
    <format dxfId="1202">
      <pivotArea dataOnly="0" labelOnly="1" outline="0" fieldPosition="0">
        <references count="8">
          <reference field="0" count="1" selected="0">
            <x v="6"/>
          </reference>
          <reference field="4" count="1" selected="0">
            <x v="0"/>
          </reference>
          <reference field="5" count="1" selected="0">
            <x v="11"/>
          </reference>
          <reference field="8" count="1" selected="0">
            <x v="2"/>
          </reference>
          <reference field="10" count="1" selected="0">
            <x v="0"/>
          </reference>
          <reference field="11" count="1" selected="0">
            <x v="3"/>
          </reference>
          <reference field="12" count="1" selected="0">
            <x v="30"/>
          </reference>
          <reference field="13" count="1">
            <x v="29"/>
          </reference>
        </references>
      </pivotArea>
    </format>
    <format dxfId="1201">
      <pivotArea dataOnly="0" labelOnly="1" outline="0" fieldPosition="0">
        <references count="8">
          <reference field="0" count="1" selected="0">
            <x v="7"/>
          </reference>
          <reference field="4" count="1" selected="0">
            <x v="0"/>
          </reference>
          <reference field="5" count="1" selected="0">
            <x v="11"/>
          </reference>
          <reference field="8" count="1" selected="0">
            <x v="2"/>
          </reference>
          <reference field="10" count="1" selected="0">
            <x v="0"/>
          </reference>
          <reference field="11" count="1" selected="0">
            <x v="5"/>
          </reference>
          <reference field="12" count="1" selected="0">
            <x v="32"/>
          </reference>
          <reference field="13" count="1">
            <x v="23"/>
          </reference>
        </references>
      </pivotArea>
    </format>
    <format dxfId="1200">
      <pivotArea dataOnly="0" labelOnly="1" outline="0" fieldPosition="0">
        <references count="8">
          <reference field="0" count="1" selected="0">
            <x v="8"/>
          </reference>
          <reference field="4" count="1" selected="0">
            <x v="0"/>
          </reference>
          <reference field="5" count="1" selected="0">
            <x v="11"/>
          </reference>
          <reference field="8" count="1" selected="0">
            <x v="2"/>
          </reference>
          <reference field="10" count="1" selected="0">
            <x v="0"/>
          </reference>
          <reference field="11" count="1" selected="0">
            <x v="3"/>
          </reference>
          <reference field="12" count="1" selected="0">
            <x v="30"/>
          </reference>
          <reference field="13" count="1">
            <x v="29"/>
          </reference>
        </references>
      </pivotArea>
    </format>
    <format dxfId="1199">
      <pivotArea field="13" type="button" dataOnly="0" labelOnly="1" outline="0" axis="axisRow" fieldPosition="7"/>
    </format>
    <format dxfId="1198">
      <pivotArea dataOnly="0" labelOnly="1" grandRow="1" outline="0" offset="F256:IV256" fieldPosition="0"/>
    </format>
    <format dxfId="1197">
      <pivotArea field="0" type="button" dataOnly="0" labelOnly="1" outline="0" axis="axisRow" fieldPosition="2"/>
    </format>
    <format dxfId="1196">
      <pivotArea field="8" type="button" dataOnly="0" labelOnly="1" outline="0" axis="axisRow" fieldPosition="3"/>
    </format>
    <format dxfId="1195">
      <pivotArea field="10" type="button" dataOnly="0" labelOnly="1" outline="0" axis="axisRow" fieldPosition="4"/>
    </format>
    <format dxfId="1194">
      <pivotArea field="12" type="button" dataOnly="0" labelOnly="1" outline="0" axis="axisRow" fieldPosition="5"/>
    </format>
    <format dxfId="1193">
      <pivotArea field="11" type="button" dataOnly="0" labelOnly="1" outline="0" axis="axisRow" fieldPosition="6"/>
    </format>
    <format dxfId="1192">
      <pivotArea field="13" type="button" dataOnly="0" labelOnly="1" outline="0" axis="axisRow" fieldPosition="7"/>
    </format>
    <format dxfId="1191">
      <pivotArea dataOnly="0" labelOnly="1" outline="0" offset="C256:IV256" fieldPosition="0">
        <references count="1">
          <reference field="5" count="1" defaultSubtotal="1">
            <x v="0"/>
          </reference>
        </references>
      </pivotArea>
    </format>
    <format dxfId="1190">
      <pivotArea dataOnly="0" labelOnly="1" outline="0" offset="C256:IV256" fieldPosition="0">
        <references count="1">
          <reference field="5" count="1" defaultSubtotal="1">
            <x v="1"/>
          </reference>
        </references>
      </pivotArea>
    </format>
    <format dxfId="1189">
      <pivotArea dataOnly="0" labelOnly="1" outline="0" offset="C256:IV256" fieldPosition="0">
        <references count="1">
          <reference field="5" count="1" defaultSubtotal="1">
            <x v="2"/>
          </reference>
        </references>
      </pivotArea>
    </format>
    <format dxfId="1188">
      <pivotArea dataOnly="0" labelOnly="1" outline="0" offset="C256:IV256" fieldPosition="0">
        <references count="1">
          <reference field="5" count="1" defaultSubtotal="1">
            <x v="3"/>
          </reference>
        </references>
      </pivotArea>
    </format>
    <format dxfId="1187">
      <pivotArea dataOnly="0" labelOnly="1" outline="0" offset="C256:IV256" fieldPosition="0">
        <references count="1">
          <reference field="5" count="1" defaultSubtotal="1">
            <x v="4"/>
          </reference>
        </references>
      </pivotArea>
    </format>
    <format dxfId="1186">
      <pivotArea dataOnly="0" labelOnly="1" outline="0" offset="C256:IV256" fieldPosition="0">
        <references count="1">
          <reference field="5" count="1" defaultSubtotal="1">
            <x v="5"/>
          </reference>
        </references>
      </pivotArea>
    </format>
    <format dxfId="1185">
      <pivotArea dataOnly="0" labelOnly="1" outline="0" offset="C256:IV256" fieldPosition="0">
        <references count="1">
          <reference field="5" count="1" defaultSubtotal="1">
            <x v="6"/>
          </reference>
        </references>
      </pivotArea>
    </format>
    <format dxfId="1184">
      <pivotArea dataOnly="0" labelOnly="1" outline="0" offset="C256:IV256" fieldPosition="0">
        <references count="1">
          <reference field="5" count="1" defaultSubtotal="1">
            <x v="7"/>
          </reference>
        </references>
      </pivotArea>
    </format>
    <format dxfId="1183">
      <pivotArea dataOnly="0" labelOnly="1" outline="0" offset="C256:IV256" fieldPosition="0">
        <references count="1">
          <reference field="5" count="1" defaultSubtotal="1">
            <x v="8"/>
          </reference>
        </references>
      </pivotArea>
    </format>
    <format dxfId="1182">
      <pivotArea dataOnly="0" labelOnly="1" outline="0" offset="C256:IV256" fieldPosition="0">
        <references count="1">
          <reference field="5" count="1" defaultSubtotal="1">
            <x v="9"/>
          </reference>
        </references>
      </pivotArea>
    </format>
    <format dxfId="1181">
      <pivotArea dataOnly="0" labelOnly="1" outline="0" offset="C256:IV256" fieldPosition="0">
        <references count="1">
          <reference field="5" count="1" defaultSubtotal="1">
            <x v="10"/>
          </reference>
        </references>
      </pivotArea>
    </format>
    <format dxfId="1180">
      <pivotArea dataOnly="0" labelOnly="1" outline="0" offset="C256:IV256" fieldPosition="0">
        <references count="1">
          <reference field="5" count="1" defaultSubtotal="1">
            <x v="11"/>
          </reference>
        </references>
      </pivotArea>
    </format>
    <format dxfId="1179">
      <pivotArea dataOnly="0" labelOnly="1" outline="0" fieldPosition="0">
        <references count="3">
          <reference field="0" count="6">
            <x v="9"/>
            <x v="10"/>
            <x v="11"/>
            <x v="12"/>
            <x v="13"/>
            <x v="14"/>
          </reference>
          <reference field="4" count="1" selected="0">
            <x v="2"/>
          </reference>
          <reference field="5" count="1" selected="0">
            <x v="0"/>
          </reference>
        </references>
      </pivotArea>
    </format>
    <format dxfId="1178">
      <pivotArea dataOnly="0" labelOnly="1" outline="0" fieldPosition="0">
        <references count="3">
          <reference field="0" count="6">
            <x v="15"/>
            <x v="16"/>
            <x v="17"/>
            <x v="18"/>
            <x v="19"/>
            <x v="20"/>
          </reference>
          <reference field="4" count="1" selected="0">
            <x v="2"/>
          </reference>
          <reference field="5" count="1" selected="0">
            <x v="1"/>
          </reference>
        </references>
      </pivotArea>
    </format>
    <format dxfId="1177">
      <pivotArea dataOnly="0" labelOnly="1" outline="0" fieldPosition="0">
        <references count="3">
          <reference field="0" count="6">
            <x v="21"/>
            <x v="22"/>
            <x v="23"/>
            <x v="24"/>
            <x v="25"/>
            <x v="26"/>
          </reference>
          <reference field="4" count="1" selected="0">
            <x v="2"/>
          </reference>
          <reference field="5" count="1" selected="0">
            <x v="2"/>
          </reference>
        </references>
      </pivotArea>
    </format>
    <format dxfId="1176">
      <pivotArea dataOnly="0" labelOnly="1" outline="0" fieldPosition="0">
        <references count="3">
          <reference field="0" count="6">
            <x v="27"/>
            <x v="28"/>
            <x v="29"/>
            <x v="30"/>
            <x v="31"/>
            <x v="32"/>
          </reference>
          <reference field="4" count="1" selected="0">
            <x v="2"/>
          </reference>
          <reference field="5" count="1" selected="0">
            <x v="3"/>
          </reference>
        </references>
      </pivotArea>
    </format>
    <format dxfId="1175">
      <pivotArea dataOnly="0" labelOnly="1" outline="0" fieldPosition="0">
        <references count="3">
          <reference field="0" count="6">
            <x v="33"/>
            <x v="34"/>
            <x v="35"/>
            <x v="36"/>
            <x v="37"/>
            <x v="38"/>
          </reference>
          <reference field="4" count="1" selected="0">
            <x v="1"/>
          </reference>
          <reference field="5" count="1" selected="0">
            <x v="4"/>
          </reference>
        </references>
      </pivotArea>
    </format>
    <format dxfId="1174">
      <pivotArea dataOnly="0" labelOnly="1" outline="0" fieldPosition="0">
        <references count="3">
          <reference field="0" count="6">
            <x v="39"/>
            <x v="40"/>
            <x v="43"/>
            <x v="44"/>
            <x v="49"/>
            <x v="50"/>
          </reference>
          <reference field="4" count="1" selected="0">
            <x v="1"/>
          </reference>
          <reference field="5" count="1" selected="0">
            <x v="5"/>
          </reference>
        </references>
      </pivotArea>
    </format>
    <format dxfId="1173">
      <pivotArea dataOnly="0" labelOnly="1" outline="0" fieldPosition="0">
        <references count="3">
          <reference field="0" count="6">
            <x v="52"/>
            <x v="53"/>
            <x v="58"/>
            <x v="59"/>
            <x v="64"/>
            <x v="65"/>
          </reference>
          <reference field="4" count="1" selected="0">
            <x v="1"/>
          </reference>
          <reference field="5" count="1" selected="0">
            <x v="6"/>
          </reference>
        </references>
      </pivotArea>
    </format>
    <format dxfId="1172">
      <pivotArea dataOnly="0" labelOnly="1" outline="0" fieldPosition="0">
        <references count="3">
          <reference field="0" count="3">
            <x v="67"/>
            <x v="68"/>
            <x v="69"/>
          </reference>
          <reference field="4" count="1" selected="0">
            <x v="0"/>
          </reference>
          <reference field="5" count="1" selected="0">
            <x v="7"/>
          </reference>
        </references>
      </pivotArea>
    </format>
    <format dxfId="1171">
      <pivotArea dataOnly="0" labelOnly="1" outline="0" fieldPosition="0">
        <references count="3">
          <reference field="0" count="3">
            <x v="70"/>
            <x v="71"/>
            <x v="72"/>
          </reference>
          <reference field="4" count="1" selected="0">
            <x v="0"/>
          </reference>
          <reference field="5" count="1" selected="0">
            <x v="8"/>
          </reference>
        </references>
      </pivotArea>
    </format>
    <format dxfId="1170">
      <pivotArea dataOnly="0" labelOnly="1" outline="0" fieldPosition="0">
        <references count="3">
          <reference field="0" count="3">
            <x v="0"/>
            <x v="1"/>
            <x v="2"/>
          </reference>
          <reference field="4" count="1" selected="0">
            <x v="0"/>
          </reference>
          <reference field="5" count="1" selected="0">
            <x v="9"/>
          </reference>
        </references>
      </pivotArea>
    </format>
    <format dxfId="1169">
      <pivotArea dataOnly="0" labelOnly="1" outline="0" fieldPosition="0">
        <references count="3">
          <reference field="0" count="3">
            <x v="3"/>
            <x v="4"/>
            <x v="5"/>
          </reference>
          <reference field="4" count="1" selected="0">
            <x v="0"/>
          </reference>
          <reference field="5" count="1" selected="0">
            <x v="10"/>
          </reference>
        </references>
      </pivotArea>
    </format>
    <format dxfId="1168">
      <pivotArea dataOnly="0" labelOnly="1" outline="0" fieldPosition="0">
        <references count="3">
          <reference field="0" count="3">
            <x v="6"/>
            <x v="7"/>
            <x v="8"/>
          </reference>
          <reference field="4" count="1" selected="0">
            <x v="0"/>
          </reference>
          <reference field="5" count="1" selected="0">
            <x v="11"/>
          </reference>
        </references>
      </pivotArea>
    </format>
    <format dxfId="1167">
      <pivotArea dataOnly="0" labelOnly="1" outline="0" fieldPosition="0">
        <references count="4">
          <reference field="0" count="1" selected="0">
            <x v="9"/>
          </reference>
          <reference field="4" count="1" selected="0">
            <x v="2"/>
          </reference>
          <reference field="5" count="1" selected="0">
            <x v="0"/>
          </reference>
          <reference field="8" count="1">
            <x v="6"/>
          </reference>
        </references>
      </pivotArea>
    </format>
    <format dxfId="1166">
      <pivotArea dataOnly="0" labelOnly="1" outline="0" fieldPosition="0">
        <references count="4">
          <reference field="0" count="1" selected="0">
            <x v="11"/>
          </reference>
          <reference field="4" count="1" selected="0">
            <x v="2"/>
          </reference>
          <reference field="5" count="1" selected="0">
            <x v="0"/>
          </reference>
          <reference field="8" count="1">
            <x v="3"/>
          </reference>
        </references>
      </pivotArea>
    </format>
    <format dxfId="1165">
      <pivotArea dataOnly="0" labelOnly="1" outline="0" fieldPosition="0">
        <references count="4">
          <reference field="0" count="1" selected="0">
            <x v="12"/>
          </reference>
          <reference field="4" count="1" selected="0">
            <x v="2"/>
          </reference>
          <reference field="5" count="1" selected="0">
            <x v="0"/>
          </reference>
          <reference field="8" count="1">
            <x v="7"/>
          </reference>
        </references>
      </pivotArea>
    </format>
    <format dxfId="1164">
      <pivotArea dataOnly="0" labelOnly="1" outline="0" fieldPosition="0">
        <references count="4">
          <reference field="0" count="1" selected="0">
            <x v="14"/>
          </reference>
          <reference field="4" count="1" selected="0">
            <x v="2"/>
          </reference>
          <reference field="5" count="1" selected="0">
            <x v="0"/>
          </reference>
          <reference field="8" count="1">
            <x v="5"/>
          </reference>
        </references>
      </pivotArea>
    </format>
    <format dxfId="1163">
      <pivotArea dataOnly="0" labelOnly="1" outline="0" fieldPosition="0">
        <references count="4">
          <reference field="0" count="1" selected="0">
            <x v="15"/>
          </reference>
          <reference field="4" count="1" selected="0">
            <x v="2"/>
          </reference>
          <reference field="5" count="1" selected="0">
            <x v="1"/>
          </reference>
          <reference field="8" count="1">
            <x v="1"/>
          </reference>
        </references>
      </pivotArea>
    </format>
    <format dxfId="1162">
      <pivotArea dataOnly="0" labelOnly="1" outline="0" fieldPosition="0">
        <references count="4">
          <reference field="0" count="1" selected="0">
            <x v="21"/>
          </reference>
          <reference field="4" count="1" selected="0">
            <x v="2"/>
          </reference>
          <reference field="5" count="1" selected="0">
            <x v="2"/>
          </reference>
          <reference field="8" count="1">
            <x v="6"/>
          </reference>
        </references>
      </pivotArea>
    </format>
    <format dxfId="1161">
      <pivotArea dataOnly="0" labelOnly="1" outline="0" fieldPosition="0">
        <references count="4">
          <reference field="0" count="1" selected="0">
            <x v="23"/>
          </reference>
          <reference field="4" count="1" selected="0">
            <x v="2"/>
          </reference>
          <reference field="5" count="1" selected="0">
            <x v="2"/>
          </reference>
          <reference field="8" count="1">
            <x v="3"/>
          </reference>
        </references>
      </pivotArea>
    </format>
    <format dxfId="1160">
      <pivotArea dataOnly="0" labelOnly="1" outline="0" fieldPosition="0">
        <references count="4">
          <reference field="0" count="1" selected="0">
            <x v="24"/>
          </reference>
          <reference field="4" count="1" selected="0">
            <x v="2"/>
          </reference>
          <reference field="5" count="1" selected="0">
            <x v="2"/>
          </reference>
          <reference field="8" count="1">
            <x v="7"/>
          </reference>
        </references>
      </pivotArea>
    </format>
    <format dxfId="1159">
      <pivotArea dataOnly="0" labelOnly="1" outline="0" fieldPosition="0">
        <references count="4">
          <reference field="0" count="1" selected="0">
            <x v="26"/>
          </reference>
          <reference field="4" count="1" selected="0">
            <x v="2"/>
          </reference>
          <reference field="5" count="1" selected="0">
            <x v="2"/>
          </reference>
          <reference field="8" count="1">
            <x v="5"/>
          </reference>
        </references>
      </pivotArea>
    </format>
    <format dxfId="1158">
      <pivotArea dataOnly="0" labelOnly="1" outline="0" fieldPosition="0">
        <references count="4">
          <reference field="0" count="1" selected="0">
            <x v="27"/>
          </reference>
          <reference field="4" count="1" selected="0">
            <x v="2"/>
          </reference>
          <reference field="5" count="1" selected="0">
            <x v="3"/>
          </reference>
          <reference field="8" count="1">
            <x v="7"/>
          </reference>
        </references>
      </pivotArea>
    </format>
    <format dxfId="1157">
      <pivotArea dataOnly="0" labelOnly="1" outline="0" fieldPosition="0">
        <references count="4">
          <reference field="0" count="1" selected="0">
            <x v="29"/>
          </reference>
          <reference field="4" count="1" selected="0">
            <x v="2"/>
          </reference>
          <reference field="5" count="1" selected="0">
            <x v="3"/>
          </reference>
          <reference field="8" count="1">
            <x v="3"/>
          </reference>
        </references>
      </pivotArea>
    </format>
    <format dxfId="1156">
      <pivotArea dataOnly="0" labelOnly="1" outline="0" fieldPosition="0">
        <references count="4">
          <reference field="0" count="1" selected="0">
            <x v="30"/>
          </reference>
          <reference field="4" count="1" selected="0">
            <x v="2"/>
          </reference>
          <reference field="5" count="1" selected="0">
            <x v="3"/>
          </reference>
          <reference field="8" count="1">
            <x v="4"/>
          </reference>
        </references>
      </pivotArea>
    </format>
    <format dxfId="1155">
      <pivotArea dataOnly="0" labelOnly="1" outline="0" fieldPosition="0">
        <references count="4">
          <reference field="0" count="1" selected="0">
            <x v="31"/>
          </reference>
          <reference field="4" count="1" selected="0">
            <x v="2"/>
          </reference>
          <reference field="5" count="1" selected="0">
            <x v="3"/>
          </reference>
          <reference field="8" count="1">
            <x v="0"/>
          </reference>
        </references>
      </pivotArea>
    </format>
    <format dxfId="1154">
      <pivotArea dataOnly="0" labelOnly="1" outline="0" fieldPosition="0">
        <references count="4">
          <reference field="0" count="1" selected="0">
            <x v="33"/>
          </reference>
          <reference field="4" count="1" selected="0">
            <x v="1"/>
          </reference>
          <reference field="5" count="1" selected="0">
            <x v="4"/>
          </reference>
          <reference field="8" count="1">
            <x v="5"/>
          </reference>
        </references>
      </pivotArea>
    </format>
    <format dxfId="1153">
      <pivotArea dataOnly="0" labelOnly="1" outline="0" fieldPosition="0">
        <references count="4">
          <reference field="0" count="1" selected="0">
            <x v="35"/>
          </reference>
          <reference field="4" count="1" selected="0">
            <x v="1"/>
          </reference>
          <reference field="5" count="1" selected="0">
            <x v="4"/>
          </reference>
          <reference field="8" count="1">
            <x v="3"/>
          </reference>
        </references>
      </pivotArea>
    </format>
    <format dxfId="1152">
      <pivotArea dataOnly="0" labelOnly="1" outline="0" fieldPosition="0">
        <references count="4">
          <reference field="0" count="1" selected="0">
            <x v="37"/>
          </reference>
          <reference field="4" count="1" selected="0">
            <x v="1"/>
          </reference>
          <reference field="5" count="1" selected="0">
            <x v="4"/>
          </reference>
          <reference field="8" count="1">
            <x v="5"/>
          </reference>
        </references>
      </pivotArea>
    </format>
    <format dxfId="1151">
      <pivotArea dataOnly="0" labelOnly="1" outline="0" fieldPosition="0">
        <references count="4">
          <reference field="0" count="1" selected="0">
            <x v="38"/>
          </reference>
          <reference field="4" count="1" selected="0">
            <x v="1"/>
          </reference>
          <reference field="5" count="1" selected="0">
            <x v="4"/>
          </reference>
          <reference field="8" count="1">
            <x v="4"/>
          </reference>
        </references>
      </pivotArea>
    </format>
    <format dxfId="1150">
      <pivotArea dataOnly="0" labelOnly="1" outline="0" fieldPosition="0">
        <references count="4">
          <reference field="0" count="1" selected="0">
            <x v="39"/>
          </reference>
          <reference field="4" count="1" selected="0">
            <x v="1"/>
          </reference>
          <reference field="5" count="1" selected="0">
            <x v="5"/>
          </reference>
          <reference field="8" count="1">
            <x v="6"/>
          </reference>
        </references>
      </pivotArea>
    </format>
    <format dxfId="1149">
      <pivotArea dataOnly="0" labelOnly="1" outline="0" fieldPosition="0">
        <references count="4">
          <reference field="0" count="1" selected="0">
            <x v="40"/>
          </reference>
          <reference field="4" count="1" selected="0">
            <x v="1"/>
          </reference>
          <reference field="5" count="1" selected="0">
            <x v="5"/>
          </reference>
          <reference field="8" count="1">
            <x v="3"/>
          </reference>
        </references>
      </pivotArea>
    </format>
    <format dxfId="1148">
      <pivotArea dataOnly="0" labelOnly="1" outline="0" fieldPosition="0">
        <references count="4">
          <reference field="0" count="1" selected="0">
            <x v="49"/>
          </reference>
          <reference field="4" count="1" selected="0">
            <x v="1"/>
          </reference>
          <reference field="5" count="1" selected="0">
            <x v="5"/>
          </reference>
          <reference field="8" count="1">
            <x v="7"/>
          </reference>
        </references>
      </pivotArea>
    </format>
    <format dxfId="1147">
      <pivotArea dataOnly="0" labelOnly="1" outline="0" fieldPosition="0">
        <references count="4">
          <reference field="0" count="1" selected="0">
            <x v="50"/>
          </reference>
          <reference field="4" count="1" selected="0">
            <x v="1"/>
          </reference>
          <reference field="5" count="1" selected="0">
            <x v="5"/>
          </reference>
          <reference field="8" count="1">
            <x v="6"/>
          </reference>
        </references>
      </pivotArea>
    </format>
    <format dxfId="1146">
      <pivotArea dataOnly="0" labelOnly="1" outline="0" fieldPosition="0">
        <references count="4">
          <reference field="0" count="1" selected="0">
            <x v="52"/>
          </reference>
          <reference field="4" count="1" selected="0">
            <x v="1"/>
          </reference>
          <reference field="5" count="1" selected="0">
            <x v="6"/>
          </reference>
          <reference field="8" count="1">
            <x v="3"/>
          </reference>
        </references>
      </pivotArea>
    </format>
    <format dxfId="1145">
      <pivotArea dataOnly="0" labelOnly="1" outline="0" fieldPosition="0">
        <references count="4">
          <reference field="0" count="1" selected="0">
            <x v="53"/>
          </reference>
          <reference field="4" count="1" selected="0">
            <x v="1"/>
          </reference>
          <reference field="5" count="1" selected="0">
            <x v="6"/>
          </reference>
          <reference field="8" count="1">
            <x v="6"/>
          </reference>
        </references>
      </pivotArea>
    </format>
    <format dxfId="1144">
      <pivotArea dataOnly="0" labelOnly="1" outline="0" fieldPosition="0">
        <references count="4">
          <reference field="0" count="1" selected="0">
            <x v="58"/>
          </reference>
          <reference field="4" count="1" selected="0">
            <x v="1"/>
          </reference>
          <reference field="5" count="1" selected="0">
            <x v="6"/>
          </reference>
          <reference field="8" count="1">
            <x v="3"/>
          </reference>
        </references>
      </pivotArea>
    </format>
    <format dxfId="1143">
      <pivotArea dataOnly="0" labelOnly="1" outline="0" fieldPosition="0">
        <references count="4">
          <reference field="0" count="1" selected="0">
            <x v="64"/>
          </reference>
          <reference field="4" count="1" selected="0">
            <x v="1"/>
          </reference>
          <reference field="5" count="1" selected="0">
            <x v="6"/>
          </reference>
          <reference field="8" count="1">
            <x v="6"/>
          </reference>
        </references>
      </pivotArea>
    </format>
    <format dxfId="1142">
      <pivotArea dataOnly="0" labelOnly="1" outline="0" fieldPosition="0">
        <references count="4">
          <reference field="0" count="1" selected="0">
            <x v="65"/>
          </reference>
          <reference field="4" count="1" selected="0">
            <x v="1"/>
          </reference>
          <reference field="5" count="1" selected="0">
            <x v="6"/>
          </reference>
          <reference field="8" count="1">
            <x v="7"/>
          </reference>
        </references>
      </pivotArea>
    </format>
    <format dxfId="1141">
      <pivotArea dataOnly="0" labelOnly="1" outline="0" fieldPosition="0">
        <references count="4">
          <reference field="0" count="1" selected="0">
            <x v="67"/>
          </reference>
          <reference field="4" count="1" selected="0">
            <x v="0"/>
          </reference>
          <reference field="5" count="1" selected="0">
            <x v="7"/>
          </reference>
          <reference field="8" count="1">
            <x v="2"/>
          </reference>
        </references>
      </pivotArea>
    </format>
    <format dxfId="1140">
      <pivotArea dataOnly="0" labelOnly="1" outline="0" fieldPosition="0">
        <references count="4">
          <reference field="0" count="1" selected="0">
            <x v="70"/>
          </reference>
          <reference field="4" count="1" selected="0">
            <x v="0"/>
          </reference>
          <reference field="5" count="1" selected="0">
            <x v="8"/>
          </reference>
          <reference field="8" count="1">
            <x v="2"/>
          </reference>
        </references>
      </pivotArea>
    </format>
    <format dxfId="1139">
      <pivotArea dataOnly="0" labelOnly="1" outline="0" fieldPosition="0">
        <references count="4">
          <reference field="0" count="1" selected="0">
            <x v="0"/>
          </reference>
          <reference field="4" count="1" selected="0">
            <x v="0"/>
          </reference>
          <reference field="5" count="1" selected="0">
            <x v="9"/>
          </reference>
          <reference field="8" count="1">
            <x v="2"/>
          </reference>
        </references>
      </pivotArea>
    </format>
    <format dxfId="1138">
      <pivotArea dataOnly="0" labelOnly="1" outline="0" fieldPosition="0">
        <references count="4">
          <reference field="0" count="1" selected="0">
            <x v="3"/>
          </reference>
          <reference field="4" count="1" selected="0">
            <x v="0"/>
          </reference>
          <reference field="5" count="1" selected="0">
            <x v="10"/>
          </reference>
          <reference field="8" count="1">
            <x v="2"/>
          </reference>
        </references>
      </pivotArea>
    </format>
    <format dxfId="1137">
      <pivotArea dataOnly="0" labelOnly="1" outline="0" fieldPosition="0">
        <references count="4">
          <reference field="0" count="1" selected="0">
            <x v="6"/>
          </reference>
          <reference field="4" count="1" selected="0">
            <x v="0"/>
          </reference>
          <reference field="5" count="1" selected="0">
            <x v="11"/>
          </reference>
          <reference field="8" count="1">
            <x v="2"/>
          </reference>
        </references>
      </pivotArea>
    </format>
    <format dxfId="1136">
      <pivotArea dataOnly="0" labelOnly="1" outline="0" fieldPosition="0">
        <references count="5">
          <reference field="0" count="1" selected="0">
            <x v="9"/>
          </reference>
          <reference field="4" count="1" selected="0">
            <x v="2"/>
          </reference>
          <reference field="5" count="1" selected="0">
            <x v="0"/>
          </reference>
          <reference field="8" count="1" selected="0">
            <x v="6"/>
          </reference>
          <reference field="10" count="1">
            <x v="0"/>
          </reference>
        </references>
      </pivotArea>
    </format>
    <format dxfId="1135">
      <pivotArea dataOnly="0" labelOnly="1" outline="0" fieldPosition="0">
        <references count="5">
          <reference field="0" count="1" selected="0">
            <x v="14"/>
          </reference>
          <reference field="4" count="1" selected="0">
            <x v="2"/>
          </reference>
          <reference field="5" count="1" selected="0">
            <x v="0"/>
          </reference>
          <reference field="8" count="1" selected="0">
            <x v="5"/>
          </reference>
          <reference field="10" count="1">
            <x v="2"/>
          </reference>
        </references>
      </pivotArea>
    </format>
    <format dxfId="1134">
      <pivotArea dataOnly="0" labelOnly="1" outline="0" fieldPosition="0">
        <references count="5">
          <reference field="0" count="1" selected="0">
            <x v="15"/>
          </reference>
          <reference field="4" count="1" selected="0">
            <x v="2"/>
          </reference>
          <reference field="5" count="1" selected="0">
            <x v="1"/>
          </reference>
          <reference field="8" count="1" selected="0">
            <x v="1"/>
          </reference>
          <reference field="10" count="1">
            <x v="0"/>
          </reference>
        </references>
      </pivotArea>
    </format>
    <format dxfId="1133">
      <pivotArea dataOnly="0" labelOnly="1" outline="0" fieldPosition="0">
        <references count="5">
          <reference field="0" count="1" selected="0">
            <x v="16"/>
          </reference>
          <reference field="4" count="1" selected="0">
            <x v="2"/>
          </reference>
          <reference field="5" count="1" selected="0">
            <x v="1"/>
          </reference>
          <reference field="8" count="1" selected="0">
            <x v="1"/>
          </reference>
          <reference field="10" count="1">
            <x v="1"/>
          </reference>
        </references>
      </pivotArea>
    </format>
    <format dxfId="1132">
      <pivotArea dataOnly="0" labelOnly="1" outline="0" fieldPosition="0">
        <references count="5">
          <reference field="0" count="1" selected="0">
            <x v="17"/>
          </reference>
          <reference field="4" count="1" selected="0">
            <x v="2"/>
          </reference>
          <reference field="5" count="1" selected="0">
            <x v="1"/>
          </reference>
          <reference field="8" count="1" selected="0">
            <x v="1"/>
          </reference>
          <reference field="10" count="1">
            <x v="0"/>
          </reference>
        </references>
      </pivotArea>
    </format>
    <format dxfId="1131">
      <pivotArea dataOnly="0" labelOnly="1" outline="0" fieldPosition="0">
        <references count="5">
          <reference field="0" count="1" selected="0">
            <x v="18"/>
          </reference>
          <reference field="4" count="1" selected="0">
            <x v="2"/>
          </reference>
          <reference field="5" count="1" selected="0">
            <x v="1"/>
          </reference>
          <reference field="8" count="1" selected="0">
            <x v="1"/>
          </reference>
          <reference field="10" count="1">
            <x v="1"/>
          </reference>
        </references>
      </pivotArea>
    </format>
    <format dxfId="1130">
      <pivotArea dataOnly="0" labelOnly="1" outline="0" fieldPosition="0">
        <references count="5">
          <reference field="0" count="1" selected="0">
            <x v="19"/>
          </reference>
          <reference field="4" count="1" selected="0">
            <x v="2"/>
          </reference>
          <reference field="5" count="1" selected="0">
            <x v="1"/>
          </reference>
          <reference field="8" count="1" selected="0">
            <x v="1"/>
          </reference>
          <reference field="10" count="1">
            <x v="0"/>
          </reference>
        </references>
      </pivotArea>
    </format>
    <format dxfId="1129">
      <pivotArea dataOnly="0" labelOnly="1" outline="0" fieldPosition="0">
        <references count="5">
          <reference field="0" count="1" selected="0">
            <x v="20"/>
          </reference>
          <reference field="4" count="1" selected="0">
            <x v="2"/>
          </reference>
          <reference field="5" count="1" selected="0">
            <x v="1"/>
          </reference>
          <reference field="8" count="1" selected="0">
            <x v="1"/>
          </reference>
          <reference field="10" count="1">
            <x v="1"/>
          </reference>
        </references>
      </pivotArea>
    </format>
    <format dxfId="1128">
      <pivotArea dataOnly="0" labelOnly="1" outline="0" fieldPosition="0">
        <references count="5">
          <reference field="0" count="1" selected="0">
            <x v="21"/>
          </reference>
          <reference field="4" count="1" selected="0">
            <x v="2"/>
          </reference>
          <reference field="5" count="1" selected="0">
            <x v="2"/>
          </reference>
          <reference field="8" count="1" selected="0">
            <x v="6"/>
          </reference>
          <reference field="10" count="1">
            <x v="0"/>
          </reference>
        </references>
      </pivotArea>
    </format>
    <format dxfId="1127">
      <pivotArea dataOnly="0" labelOnly="1" outline="0" fieldPosition="0">
        <references count="5">
          <reference field="0" count="1" selected="0">
            <x v="26"/>
          </reference>
          <reference field="4" count="1" selected="0">
            <x v="2"/>
          </reference>
          <reference field="5" count="1" selected="0">
            <x v="2"/>
          </reference>
          <reference field="8" count="1" selected="0">
            <x v="5"/>
          </reference>
          <reference field="10" count="1">
            <x v="2"/>
          </reference>
        </references>
      </pivotArea>
    </format>
    <format dxfId="1126">
      <pivotArea dataOnly="0" labelOnly="1" outline="0" fieldPosition="0">
        <references count="5">
          <reference field="0" count="1" selected="0">
            <x v="27"/>
          </reference>
          <reference field="4" count="1" selected="0">
            <x v="2"/>
          </reference>
          <reference field="5" count="1" selected="0">
            <x v="3"/>
          </reference>
          <reference field="8" count="1" selected="0">
            <x v="7"/>
          </reference>
          <reference field="10" count="1">
            <x v="0"/>
          </reference>
        </references>
      </pivotArea>
    </format>
    <format dxfId="1125">
      <pivotArea dataOnly="0" labelOnly="1" outline="0" fieldPosition="0">
        <references count="5">
          <reference field="0" count="1" selected="0">
            <x v="30"/>
          </reference>
          <reference field="4" count="1" selected="0">
            <x v="2"/>
          </reference>
          <reference field="5" count="1" selected="0">
            <x v="3"/>
          </reference>
          <reference field="8" count="1" selected="0">
            <x v="4"/>
          </reference>
          <reference field="10" count="1">
            <x v="1"/>
          </reference>
        </references>
      </pivotArea>
    </format>
    <format dxfId="1124">
      <pivotArea dataOnly="0" labelOnly="1" outline="0" fieldPosition="0">
        <references count="5">
          <reference field="0" count="1" selected="0">
            <x v="31"/>
          </reference>
          <reference field="4" count="1" selected="0">
            <x v="2"/>
          </reference>
          <reference field="5" count="1" selected="0">
            <x v="3"/>
          </reference>
          <reference field="8" count="1" selected="0">
            <x v="0"/>
          </reference>
          <reference field="10" count="1">
            <x v="0"/>
          </reference>
        </references>
      </pivotArea>
    </format>
    <format dxfId="1123">
      <pivotArea dataOnly="0" labelOnly="1" outline="0" fieldPosition="0">
        <references count="5">
          <reference field="0" count="1" selected="0">
            <x v="33"/>
          </reference>
          <reference field="4" count="1" selected="0">
            <x v="1"/>
          </reference>
          <reference field="5" count="1" selected="0">
            <x v="4"/>
          </reference>
          <reference field="8" count="1" selected="0">
            <x v="5"/>
          </reference>
          <reference field="10" count="1">
            <x v="2"/>
          </reference>
        </references>
      </pivotArea>
    </format>
    <format dxfId="1122">
      <pivotArea dataOnly="0" labelOnly="1" outline="0" fieldPosition="0">
        <references count="5">
          <reference field="0" count="1" selected="0">
            <x v="35"/>
          </reference>
          <reference field="4" count="1" selected="0">
            <x v="1"/>
          </reference>
          <reference field="5" count="1" selected="0">
            <x v="4"/>
          </reference>
          <reference field="8" count="1" selected="0">
            <x v="3"/>
          </reference>
          <reference field="10" count="1">
            <x v="1"/>
          </reference>
        </references>
      </pivotArea>
    </format>
    <format dxfId="1121">
      <pivotArea dataOnly="0" labelOnly="1" outline="0" fieldPosition="0">
        <references count="5">
          <reference field="0" count="1" selected="0">
            <x v="37"/>
          </reference>
          <reference field="4" count="1" selected="0">
            <x v="1"/>
          </reference>
          <reference field="5" count="1" selected="0">
            <x v="4"/>
          </reference>
          <reference field="8" count="1" selected="0">
            <x v="5"/>
          </reference>
          <reference field="10" count="1">
            <x v="2"/>
          </reference>
        </references>
      </pivotArea>
    </format>
    <format dxfId="1120">
      <pivotArea dataOnly="0" labelOnly="1" outline="0" fieldPosition="0">
        <references count="5">
          <reference field="0" count="1" selected="0">
            <x v="38"/>
          </reference>
          <reference field="4" count="1" selected="0">
            <x v="1"/>
          </reference>
          <reference field="5" count="1" selected="0">
            <x v="4"/>
          </reference>
          <reference field="8" count="1" selected="0">
            <x v="4"/>
          </reference>
          <reference field="10" count="1">
            <x v="1"/>
          </reference>
        </references>
      </pivotArea>
    </format>
    <format dxfId="1119">
      <pivotArea dataOnly="0" labelOnly="1" outline="0" fieldPosition="0">
        <references count="5">
          <reference field="0" count="1" selected="0">
            <x v="39"/>
          </reference>
          <reference field="4" count="1" selected="0">
            <x v="1"/>
          </reference>
          <reference field="5" count="1" selected="0">
            <x v="5"/>
          </reference>
          <reference field="8" count="1" selected="0">
            <x v="6"/>
          </reference>
          <reference field="10" count="1">
            <x v="0"/>
          </reference>
        </references>
      </pivotArea>
    </format>
    <format dxfId="1118">
      <pivotArea dataOnly="0" labelOnly="1" outline="0" fieldPosition="0">
        <references count="5">
          <reference field="0" count="1" selected="0">
            <x v="52"/>
          </reference>
          <reference field="4" count="1" selected="0">
            <x v="1"/>
          </reference>
          <reference field="5" count="1" selected="0">
            <x v="6"/>
          </reference>
          <reference field="8" count="1" selected="0">
            <x v="3"/>
          </reference>
          <reference field="10" count="1">
            <x v="0"/>
          </reference>
        </references>
      </pivotArea>
    </format>
    <format dxfId="1117">
      <pivotArea dataOnly="0" labelOnly="1" outline="0" fieldPosition="0">
        <references count="5">
          <reference field="0" count="1" selected="0">
            <x v="67"/>
          </reference>
          <reference field="4" count="1" selected="0">
            <x v="0"/>
          </reference>
          <reference field="5" count="1" selected="0">
            <x v="7"/>
          </reference>
          <reference field="8" count="1" selected="0">
            <x v="2"/>
          </reference>
          <reference field="10" count="1">
            <x v="0"/>
          </reference>
        </references>
      </pivotArea>
    </format>
    <format dxfId="1116">
      <pivotArea dataOnly="0" labelOnly="1" outline="0" fieldPosition="0">
        <references count="5">
          <reference field="0" count="1" selected="0">
            <x v="70"/>
          </reference>
          <reference field="4" count="1" selected="0">
            <x v="0"/>
          </reference>
          <reference field="5" count="1" selected="0">
            <x v="8"/>
          </reference>
          <reference field="8" count="1" selected="0">
            <x v="2"/>
          </reference>
          <reference field="10" count="1">
            <x v="0"/>
          </reference>
        </references>
      </pivotArea>
    </format>
    <format dxfId="1115">
      <pivotArea dataOnly="0" labelOnly="1" outline="0" fieldPosition="0">
        <references count="5">
          <reference field="0" count="1" selected="0">
            <x v="0"/>
          </reference>
          <reference field="4" count="1" selected="0">
            <x v="0"/>
          </reference>
          <reference field="5" count="1" selected="0">
            <x v="9"/>
          </reference>
          <reference field="8" count="1" selected="0">
            <x v="2"/>
          </reference>
          <reference field="10" count="1">
            <x v="0"/>
          </reference>
        </references>
      </pivotArea>
    </format>
    <format dxfId="1114">
      <pivotArea dataOnly="0" labelOnly="1" outline="0" fieldPosition="0">
        <references count="5">
          <reference field="0" count="1" selected="0">
            <x v="3"/>
          </reference>
          <reference field="4" count="1" selected="0">
            <x v="0"/>
          </reference>
          <reference field="5" count="1" selected="0">
            <x v="10"/>
          </reference>
          <reference field="8" count="1" selected="0">
            <x v="2"/>
          </reference>
          <reference field="10" count="1">
            <x v="0"/>
          </reference>
        </references>
      </pivotArea>
    </format>
    <format dxfId="1113">
      <pivotArea dataOnly="0" labelOnly="1" outline="0" fieldPosition="0">
        <references count="5">
          <reference field="0" count="1" selected="0">
            <x v="6"/>
          </reference>
          <reference field="4" count="1" selected="0">
            <x v="0"/>
          </reference>
          <reference field="5" count="1" selected="0">
            <x v="11"/>
          </reference>
          <reference field="8" count="1" selected="0">
            <x v="2"/>
          </reference>
          <reference field="10" count="1">
            <x v="0"/>
          </reference>
        </references>
      </pivotArea>
    </format>
    <format dxfId="1112">
      <pivotArea dataOnly="0" labelOnly="1" outline="0" fieldPosition="0">
        <references count="6">
          <reference field="0" count="1" selected="0">
            <x v="9"/>
          </reference>
          <reference field="4" count="1" selected="0">
            <x v="2"/>
          </reference>
          <reference field="5" count="1" selected="0">
            <x v="0"/>
          </reference>
          <reference field="8" count="1" selected="0">
            <x v="6"/>
          </reference>
          <reference field="10" count="1" selected="0">
            <x v="0"/>
          </reference>
          <reference field="12" count="1">
            <x v="16"/>
          </reference>
        </references>
      </pivotArea>
    </format>
    <format dxfId="1111">
      <pivotArea dataOnly="0" labelOnly="1" outline="0" fieldPosition="0">
        <references count="6">
          <reference field="0" count="1" selected="0">
            <x v="10"/>
          </reference>
          <reference field="4" count="1" selected="0">
            <x v="2"/>
          </reference>
          <reference field="5" count="1" selected="0">
            <x v="0"/>
          </reference>
          <reference field="8" count="1" selected="0">
            <x v="6"/>
          </reference>
          <reference field="10" count="1" selected="0">
            <x v="0"/>
          </reference>
          <reference field="12" count="1">
            <x v="14"/>
          </reference>
        </references>
      </pivotArea>
    </format>
    <format dxfId="1110">
      <pivotArea dataOnly="0" labelOnly="1" outline="0" fieldPosition="0">
        <references count="6">
          <reference field="0" count="1" selected="0">
            <x v="11"/>
          </reference>
          <reference field="4" count="1" selected="0">
            <x v="2"/>
          </reference>
          <reference field="5" count="1" selected="0">
            <x v="0"/>
          </reference>
          <reference field="8" count="1" selected="0">
            <x v="3"/>
          </reference>
          <reference field="10" count="1" selected="0">
            <x v="0"/>
          </reference>
          <reference field="12" count="1">
            <x v="11"/>
          </reference>
        </references>
      </pivotArea>
    </format>
    <format dxfId="1109">
      <pivotArea dataOnly="0" labelOnly="1" outline="0" fieldPosition="0">
        <references count="6">
          <reference field="0" count="1" selected="0">
            <x v="12"/>
          </reference>
          <reference field="4" count="1" selected="0">
            <x v="2"/>
          </reference>
          <reference field="5" count="1" selected="0">
            <x v="0"/>
          </reference>
          <reference field="8" count="1" selected="0">
            <x v="7"/>
          </reference>
          <reference field="10" count="1" selected="0">
            <x v="0"/>
          </reference>
          <reference field="12" count="2">
            <x v="5"/>
            <x v="8"/>
          </reference>
        </references>
      </pivotArea>
    </format>
    <format dxfId="1108">
      <pivotArea dataOnly="0" labelOnly="1" outline="0" fieldPosition="0">
        <references count="6">
          <reference field="0" count="1" selected="0">
            <x v="13"/>
          </reference>
          <reference field="4" count="1" selected="0">
            <x v="2"/>
          </reference>
          <reference field="5" count="1" selected="0">
            <x v="0"/>
          </reference>
          <reference field="8" count="1" selected="0">
            <x v="7"/>
          </reference>
          <reference field="10" count="1" selected="0">
            <x v="0"/>
          </reference>
          <reference field="12" count="2">
            <x v="15"/>
            <x v="18"/>
          </reference>
        </references>
      </pivotArea>
    </format>
    <format dxfId="1107">
      <pivotArea dataOnly="0" labelOnly="1" outline="0" fieldPosition="0">
        <references count="6">
          <reference field="0" count="1" selected="0">
            <x v="14"/>
          </reference>
          <reference field="4" count="1" selected="0">
            <x v="2"/>
          </reference>
          <reference field="5" count="1" selected="0">
            <x v="0"/>
          </reference>
          <reference field="8" count="1" selected="0">
            <x v="5"/>
          </reference>
          <reference field="10" count="1" selected="0">
            <x v="2"/>
          </reference>
          <reference field="12" count="1">
            <x v="34"/>
          </reference>
        </references>
      </pivotArea>
    </format>
    <format dxfId="1106">
      <pivotArea dataOnly="0" labelOnly="1" outline="0" fieldPosition="0">
        <references count="6">
          <reference field="0" count="1" selected="0">
            <x v="15"/>
          </reference>
          <reference field="4" count="1" selected="0">
            <x v="2"/>
          </reference>
          <reference field="5" count="1" selected="0">
            <x v="1"/>
          </reference>
          <reference field="8" count="1" selected="0">
            <x v="1"/>
          </reference>
          <reference field="10" count="1" selected="0">
            <x v="0"/>
          </reference>
          <reference field="12" count="1">
            <x v="33"/>
          </reference>
        </references>
      </pivotArea>
    </format>
    <format dxfId="1105">
      <pivotArea dataOnly="0" labelOnly="1" outline="0" fieldPosition="0">
        <references count="6">
          <reference field="0" count="1" selected="0">
            <x v="21"/>
          </reference>
          <reference field="4" count="1" selected="0">
            <x v="2"/>
          </reference>
          <reference field="5" count="1" selected="0">
            <x v="2"/>
          </reference>
          <reference field="8" count="1" selected="0">
            <x v="6"/>
          </reference>
          <reference field="10" count="1" selected="0">
            <x v="0"/>
          </reference>
          <reference field="12" count="1">
            <x v="13"/>
          </reference>
        </references>
      </pivotArea>
    </format>
    <format dxfId="1104">
      <pivotArea dataOnly="0" labelOnly="1" outline="0" fieldPosition="0">
        <references count="6">
          <reference field="0" count="1" selected="0">
            <x v="22"/>
          </reference>
          <reference field="4" count="1" selected="0">
            <x v="2"/>
          </reference>
          <reference field="5" count="1" selected="0">
            <x v="2"/>
          </reference>
          <reference field="8" count="1" selected="0">
            <x v="6"/>
          </reference>
          <reference field="10" count="1" selected="0">
            <x v="0"/>
          </reference>
          <reference field="12" count="1">
            <x v="17"/>
          </reference>
        </references>
      </pivotArea>
    </format>
    <format dxfId="1103">
      <pivotArea dataOnly="0" labelOnly="1" outline="0" fieldPosition="0">
        <references count="6">
          <reference field="0" count="1" selected="0">
            <x v="23"/>
          </reference>
          <reference field="4" count="1" selected="0">
            <x v="2"/>
          </reference>
          <reference field="5" count="1" selected="0">
            <x v="2"/>
          </reference>
          <reference field="8" count="1" selected="0">
            <x v="3"/>
          </reference>
          <reference field="10" count="1" selected="0">
            <x v="0"/>
          </reference>
          <reference field="12" count="1">
            <x v="19"/>
          </reference>
        </references>
      </pivotArea>
    </format>
    <format dxfId="1102">
      <pivotArea dataOnly="0" labelOnly="1" outline="0" fieldPosition="0">
        <references count="6">
          <reference field="0" count="1" selected="0">
            <x v="24"/>
          </reference>
          <reference field="4" count="1" selected="0">
            <x v="2"/>
          </reference>
          <reference field="5" count="1" selected="0">
            <x v="2"/>
          </reference>
          <reference field="8" count="1" selected="0">
            <x v="7"/>
          </reference>
          <reference field="10" count="1" selected="0">
            <x v="0"/>
          </reference>
          <reference field="12" count="2">
            <x v="0"/>
            <x v="1"/>
          </reference>
        </references>
      </pivotArea>
    </format>
    <format dxfId="1101">
      <pivotArea dataOnly="0" labelOnly="1" outline="0" fieldPosition="0">
        <references count="6">
          <reference field="0" count="1" selected="0">
            <x v="25"/>
          </reference>
          <reference field="4" count="1" selected="0">
            <x v="2"/>
          </reference>
          <reference field="5" count="1" selected="0">
            <x v="2"/>
          </reference>
          <reference field="8" count="1" selected="0">
            <x v="7"/>
          </reference>
          <reference field="10" count="1" selected="0">
            <x v="0"/>
          </reference>
          <reference field="12" count="2">
            <x v="15"/>
            <x v="18"/>
          </reference>
        </references>
      </pivotArea>
    </format>
    <format dxfId="1100">
      <pivotArea dataOnly="0" labelOnly="1" outline="0" fieldPosition="0">
        <references count="6">
          <reference field="0" count="1" selected="0">
            <x v="26"/>
          </reference>
          <reference field="4" count="1" selected="0">
            <x v="2"/>
          </reference>
          <reference field="5" count="1" selected="0">
            <x v="2"/>
          </reference>
          <reference field="8" count="1" selected="0">
            <x v="5"/>
          </reference>
          <reference field="10" count="1" selected="0">
            <x v="2"/>
          </reference>
          <reference field="12" count="1">
            <x v="34"/>
          </reference>
        </references>
      </pivotArea>
    </format>
    <format dxfId="1099">
      <pivotArea dataOnly="0" labelOnly="1" outline="0" fieldPosition="0">
        <references count="6">
          <reference field="0" count="1" selected="0">
            <x v="27"/>
          </reference>
          <reference field="4" count="1" selected="0">
            <x v="2"/>
          </reference>
          <reference field="5" count="1" selected="0">
            <x v="3"/>
          </reference>
          <reference field="8" count="1" selected="0">
            <x v="7"/>
          </reference>
          <reference field="10" count="1" selected="0">
            <x v="0"/>
          </reference>
          <reference field="12" count="1">
            <x v="6"/>
          </reference>
        </references>
      </pivotArea>
    </format>
    <format dxfId="1098">
      <pivotArea dataOnly="0" labelOnly="1" outline="0" fieldPosition="0">
        <references count="6">
          <reference field="0" count="1" selected="0">
            <x v="28"/>
          </reference>
          <reference field="4" count="1" selected="0">
            <x v="2"/>
          </reference>
          <reference field="5" count="1" selected="0">
            <x v="3"/>
          </reference>
          <reference field="8" count="1" selected="0">
            <x v="7"/>
          </reference>
          <reference field="10" count="1" selected="0">
            <x v="0"/>
          </reference>
          <reference field="12" count="1">
            <x v="7"/>
          </reference>
        </references>
      </pivotArea>
    </format>
    <format dxfId="1097">
      <pivotArea dataOnly="0" labelOnly="1" outline="0" fieldPosition="0">
        <references count="6">
          <reference field="0" count="1" selected="0">
            <x v="29"/>
          </reference>
          <reference field="4" count="1" selected="0">
            <x v="2"/>
          </reference>
          <reference field="5" count="1" selected="0">
            <x v="3"/>
          </reference>
          <reference field="8" count="1" selected="0">
            <x v="3"/>
          </reference>
          <reference field="10" count="1" selected="0">
            <x v="0"/>
          </reference>
          <reference field="12" count="1">
            <x v="11"/>
          </reference>
        </references>
      </pivotArea>
    </format>
    <format dxfId="1096">
      <pivotArea dataOnly="0" labelOnly="1" outline="0" fieldPosition="0">
        <references count="6">
          <reference field="0" count="1" selected="0">
            <x v="30"/>
          </reference>
          <reference field="4" count="1" selected="0">
            <x v="2"/>
          </reference>
          <reference field="5" count="1" selected="0">
            <x v="3"/>
          </reference>
          <reference field="8" count="1" selected="0">
            <x v="4"/>
          </reference>
          <reference field="10" count="1" selected="0">
            <x v="1"/>
          </reference>
          <reference field="12" count="2">
            <x v="5"/>
            <x v="8"/>
          </reference>
        </references>
      </pivotArea>
    </format>
    <format dxfId="1095">
      <pivotArea dataOnly="0" labelOnly="1" outline="0" fieldPosition="0">
        <references count="6">
          <reference field="0" count="1" selected="0">
            <x v="31"/>
          </reference>
          <reference field="4" count="1" selected="0">
            <x v="2"/>
          </reference>
          <reference field="5" count="1" selected="0">
            <x v="3"/>
          </reference>
          <reference field="8" count="1" selected="0">
            <x v="0"/>
          </reference>
          <reference field="10" count="1" selected="0">
            <x v="0"/>
          </reference>
          <reference field="12" count="1">
            <x v="9"/>
          </reference>
        </references>
      </pivotArea>
    </format>
    <format dxfId="1094">
      <pivotArea dataOnly="0" labelOnly="1" outline="0" fieldPosition="0">
        <references count="6">
          <reference field="0" count="1" selected="0">
            <x v="32"/>
          </reference>
          <reference field="4" count="1" selected="0">
            <x v="2"/>
          </reference>
          <reference field="5" count="1" selected="0">
            <x v="3"/>
          </reference>
          <reference field="8" count="1" selected="0">
            <x v="0"/>
          </reference>
          <reference field="10" count="1" selected="0">
            <x v="0"/>
          </reference>
          <reference field="12" count="1">
            <x v="10"/>
          </reference>
        </references>
      </pivotArea>
    </format>
    <format dxfId="1093">
      <pivotArea dataOnly="0" labelOnly="1" outline="0" fieldPosition="0">
        <references count="6">
          <reference field="0" count="1" selected="0">
            <x v="35"/>
          </reference>
          <reference field="4" count="1" selected="0">
            <x v="1"/>
          </reference>
          <reference field="5" count="1" selected="0">
            <x v="4"/>
          </reference>
          <reference field="8" count="1" selected="0">
            <x v="3"/>
          </reference>
          <reference field="10" count="1" selected="0">
            <x v="1"/>
          </reference>
          <reference field="12" count="1">
            <x v="4"/>
          </reference>
        </references>
      </pivotArea>
    </format>
    <format dxfId="1092">
      <pivotArea dataOnly="0" labelOnly="1" outline="0" fieldPosition="0">
        <references count="6">
          <reference field="0" count="1" selected="0">
            <x v="36"/>
          </reference>
          <reference field="4" count="1" selected="0">
            <x v="1"/>
          </reference>
          <reference field="5" count="1" selected="0">
            <x v="4"/>
          </reference>
          <reference field="8" count="1" selected="0">
            <x v="3"/>
          </reference>
          <reference field="10" count="1" selected="0">
            <x v="1"/>
          </reference>
          <reference field="12" count="1">
            <x v="3"/>
          </reference>
        </references>
      </pivotArea>
    </format>
    <format dxfId="1091">
      <pivotArea dataOnly="0" labelOnly="1" outline="0" fieldPosition="0">
        <references count="6">
          <reference field="0" count="1" selected="0">
            <x v="37"/>
          </reference>
          <reference field="4" count="1" selected="0">
            <x v="1"/>
          </reference>
          <reference field="5" count="1" selected="0">
            <x v="4"/>
          </reference>
          <reference field="8" count="1" selected="0">
            <x v="5"/>
          </reference>
          <reference field="10" count="1" selected="0">
            <x v="2"/>
          </reference>
          <reference field="12" count="1">
            <x v="34"/>
          </reference>
        </references>
      </pivotArea>
    </format>
    <format dxfId="1090">
      <pivotArea dataOnly="0" labelOnly="1" outline="0" fieldPosition="0">
        <references count="6">
          <reference field="0" count="1" selected="0">
            <x v="38"/>
          </reference>
          <reference field="4" count="1" selected="0">
            <x v="1"/>
          </reference>
          <reference field="5" count="1" selected="0">
            <x v="4"/>
          </reference>
          <reference field="8" count="1" selected="0">
            <x v="4"/>
          </reference>
          <reference field="10" count="1" selected="0">
            <x v="1"/>
          </reference>
          <reference field="12" count="3">
            <x v="0"/>
            <x v="1"/>
            <x v="2"/>
          </reference>
        </references>
      </pivotArea>
    </format>
    <format dxfId="1089">
      <pivotArea dataOnly="0" labelOnly="1" outline="0" fieldPosition="0">
        <references count="6">
          <reference field="0" count="1" selected="0">
            <x v="39"/>
          </reference>
          <reference field="4" count="1" selected="0">
            <x v="1"/>
          </reference>
          <reference field="5" count="1" selected="0">
            <x v="5"/>
          </reference>
          <reference field="8" count="1" selected="0">
            <x v="6"/>
          </reference>
          <reference field="10" count="1" selected="0">
            <x v="0"/>
          </reference>
          <reference field="12" count="1">
            <x v="22"/>
          </reference>
        </references>
      </pivotArea>
    </format>
    <format dxfId="1088">
      <pivotArea dataOnly="0" labelOnly="1" outline="0" fieldPosition="0">
        <references count="6">
          <reference field="0" count="1" selected="0">
            <x v="40"/>
          </reference>
          <reference field="4" count="1" selected="0">
            <x v="1"/>
          </reference>
          <reference field="5" count="1" selected="0">
            <x v="5"/>
          </reference>
          <reference field="8" count="1" selected="0">
            <x v="3"/>
          </reference>
          <reference field="10" count="1" selected="0">
            <x v="0"/>
          </reference>
          <reference field="12" count="1">
            <x v="12"/>
          </reference>
        </references>
      </pivotArea>
    </format>
    <format dxfId="1087">
      <pivotArea dataOnly="0" labelOnly="1" outline="0" fieldPosition="0">
        <references count="6">
          <reference field="0" count="1" selected="0">
            <x v="43"/>
          </reference>
          <reference field="4" count="1" selected="0">
            <x v="1"/>
          </reference>
          <reference field="5" count="1" selected="0">
            <x v="5"/>
          </reference>
          <reference field="8" count="1" selected="0">
            <x v="3"/>
          </reference>
          <reference field="10" count="1" selected="0">
            <x v="0"/>
          </reference>
          <reference field="12" count="1">
            <x v="21"/>
          </reference>
        </references>
      </pivotArea>
    </format>
    <format dxfId="1086">
      <pivotArea dataOnly="0" labelOnly="1" outline="0" fieldPosition="0">
        <references count="6">
          <reference field="0" count="1" selected="0">
            <x v="44"/>
          </reference>
          <reference field="4" count="1" selected="0">
            <x v="1"/>
          </reference>
          <reference field="5" count="1" selected="0">
            <x v="5"/>
          </reference>
          <reference field="8" count="1" selected="0">
            <x v="3"/>
          </reference>
          <reference field="10" count="1" selected="0">
            <x v="0"/>
          </reference>
          <reference field="12" count="2">
            <x v="13"/>
            <x v="16"/>
          </reference>
        </references>
      </pivotArea>
    </format>
    <format dxfId="1085">
      <pivotArea dataOnly="0" labelOnly="1" outline="0" fieldPosition="0">
        <references count="6">
          <reference field="0" count="1" selected="0">
            <x v="49"/>
          </reference>
          <reference field="4" count="1" selected="0">
            <x v="1"/>
          </reference>
          <reference field="5" count="1" selected="0">
            <x v="5"/>
          </reference>
          <reference field="8" count="1" selected="0">
            <x v="7"/>
          </reference>
          <reference field="10" count="1" selected="0">
            <x v="0"/>
          </reference>
          <reference field="12" count="1">
            <x v="15"/>
          </reference>
        </references>
      </pivotArea>
    </format>
    <format dxfId="1084">
      <pivotArea dataOnly="0" labelOnly="1" outline="0" fieldPosition="0">
        <references count="6">
          <reference field="0" count="1" selected="0">
            <x v="50"/>
          </reference>
          <reference field="4" count="1" selected="0">
            <x v="1"/>
          </reference>
          <reference field="5" count="1" selected="0">
            <x v="5"/>
          </reference>
          <reference field="8" count="1" selected="0">
            <x v="6"/>
          </reference>
          <reference field="10" count="1" selected="0">
            <x v="0"/>
          </reference>
          <reference field="12" count="1">
            <x v="20"/>
          </reference>
        </references>
      </pivotArea>
    </format>
    <format dxfId="1083">
      <pivotArea dataOnly="0" labelOnly="1" outline="0" fieldPosition="0">
        <references count="6">
          <reference field="0" count="1" selected="0">
            <x v="52"/>
          </reference>
          <reference field="4" count="1" selected="0">
            <x v="1"/>
          </reference>
          <reference field="5" count="1" selected="0">
            <x v="6"/>
          </reference>
          <reference field="8" count="1" selected="0">
            <x v="3"/>
          </reference>
          <reference field="10" count="1" selected="0">
            <x v="0"/>
          </reference>
          <reference field="12" count="1">
            <x v="21"/>
          </reference>
        </references>
      </pivotArea>
    </format>
    <format dxfId="1082">
      <pivotArea dataOnly="0" labelOnly="1" outline="0" fieldPosition="0">
        <references count="6">
          <reference field="0" count="1" selected="0">
            <x v="53"/>
          </reference>
          <reference field="4" count="1" selected="0">
            <x v="1"/>
          </reference>
          <reference field="5" count="1" selected="0">
            <x v="6"/>
          </reference>
          <reference field="8" count="1" selected="0">
            <x v="6"/>
          </reference>
          <reference field="10" count="1" selected="0">
            <x v="0"/>
          </reference>
          <reference field="12" count="1">
            <x v="15"/>
          </reference>
        </references>
      </pivotArea>
    </format>
    <format dxfId="1081">
      <pivotArea dataOnly="0" labelOnly="1" outline="0" fieldPosition="0">
        <references count="6">
          <reference field="0" count="1" selected="0">
            <x v="58"/>
          </reference>
          <reference field="4" count="1" selected="0">
            <x v="1"/>
          </reference>
          <reference field="5" count="1" selected="0">
            <x v="6"/>
          </reference>
          <reference field="8" count="1" selected="0">
            <x v="3"/>
          </reference>
          <reference field="10" count="1" selected="0">
            <x v="0"/>
          </reference>
          <reference field="12" count="1">
            <x v="24"/>
          </reference>
        </references>
      </pivotArea>
    </format>
    <format dxfId="1080">
      <pivotArea dataOnly="0" labelOnly="1" outline="0" fieldPosition="0">
        <references count="6">
          <reference field="0" count="1" selected="0">
            <x v="64"/>
          </reference>
          <reference field="4" count="1" selected="0">
            <x v="1"/>
          </reference>
          <reference field="5" count="1" selected="0">
            <x v="6"/>
          </reference>
          <reference field="8" count="1" selected="0">
            <x v="6"/>
          </reference>
          <reference field="10" count="1" selected="0">
            <x v="0"/>
          </reference>
          <reference field="12" count="1">
            <x v="35"/>
          </reference>
        </references>
      </pivotArea>
    </format>
    <format dxfId="1079">
      <pivotArea dataOnly="0" labelOnly="1" outline="0" fieldPosition="0">
        <references count="6">
          <reference field="0" count="1" selected="0">
            <x v="65"/>
          </reference>
          <reference field="4" count="1" selected="0">
            <x v="1"/>
          </reference>
          <reference field="5" count="1" selected="0">
            <x v="6"/>
          </reference>
          <reference field="8" count="1" selected="0">
            <x v="7"/>
          </reference>
          <reference field="10" count="1" selected="0">
            <x v="0"/>
          </reference>
          <reference field="12" count="2">
            <x v="0"/>
            <x v="1"/>
          </reference>
        </references>
      </pivotArea>
    </format>
    <format dxfId="1078">
      <pivotArea dataOnly="0" labelOnly="1" outline="0" fieldPosition="0">
        <references count="6">
          <reference field="0" count="1" selected="0">
            <x v="67"/>
          </reference>
          <reference field="4" count="1" selected="0">
            <x v="0"/>
          </reference>
          <reference field="5" count="1" selected="0">
            <x v="7"/>
          </reference>
          <reference field="8" count="1" selected="0">
            <x v="2"/>
          </reference>
          <reference field="10" count="1" selected="0">
            <x v="0"/>
          </reference>
          <reference field="12" count="1">
            <x v="25"/>
          </reference>
        </references>
      </pivotArea>
    </format>
    <format dxfId="1077">
      <pivotArea dataOnly="0" labelOnly="1" outline="0" fieldPosition="0">
        <references count="6">
          <reference field="0" count="1" selected="0">
            <x v="68"/>
          </reference>
          <reference field="4" count="1" selected="0">
            <x v="0"/>
          </reference>
          <reference field="5" count="1" selected="0">
            <x v="7"/>
          </reference>
          <reference field="8" count="1" selected="0">
            <x v="2"/>
          </reference>
          <reference field="10" count="1" selected="0">
            <x v="0"/>
          </reference>
          <reference field="12" count="1">
            <x v="26"/>
          </reference>
        </references>
      </pivotArea>
    </format>
    <format dxfId="1076">
      <pivotArea dataOnly="0" labelOnly="1" outline="0" fieldPosition="0">
        <references count="6">
          <reference field="0" count="1" selected="0">
            <x v="69"/>
          </reference>
          <reference field="4" count="1" selected="0">
            <x v="0"/>
          </reference>
          <reference field="5" count="1" selected="0">
            <x v="7"/>
          </reference>
          <reference field="8" count="1" selected="0">
            <x v="2"/>
          </reference>
          <reference field="10" count="1" selected="0">
            <x v="0"/>
          </reference>
          <reference field="12" count="1">
            <x v="25"/>
          </reference>
        </references>
      </pivotArea>
    </format>
    <format dxfId="1075">
      <pivotArea dataOnly="0" labelOnly="1" outline="0" fieldPosition="0">
        <references count="6">
          <reference field="0" count="1" selected="0">
            <x v="70"/>
          </reference>
          <reference field="4" count="1" selected="0">
            <x v="0"/>
          </reference>
          <reference field="5" count="1" selected="0">
            <x v="8"/>
          </reference>
          <reference field="8" count="1" selected="0">
            <x v="2"/>
          </reference>
          <reference field="10" count="1" selected="0">
            <x v="0"/>
          </reference>
          <reference field="12" count="1">
            <x v="8"/>
          </reference>
        </references>
      </pivotArea>
    </format>
    <format dxfId="1074">
      <pivotArea dataOnly="0" labelOnly="1" outline="0" fieldPosition="0">
        <references count="6">
          <reference field="0" count="1" selected="0">
            <x v="71"/>
          </reference>
          <reference field="4" count="1" selected="0">
            <x v="0"/>
          </reference>
          <reference field="5" count="1" selected="0">
            <x v="8"/>
          </reference>
          <reference field="8" count="1" selected="0">
            <x v="2"/>
          </reference>
          <reference field="10" count="1" selected="0">
            <x v="0"/>
          </reference>
          <reference field="12" count="1">
            <x v="20"/>
          </reference>
        </references>
      </pivotArea>
    </format>
    <format dxfId="1073">
      <pivotArea dataOnly="0" labelOnly="1" outline="0" fieldPosition="0">
        <references count="6">
          <reference field="0" count="1" selected="0">
            <x v="72"/>
          </reference>
          <reference field="4" count="1" selected="0">
            <x v="0"/>
          </reference>
          <reference field="5" count="1" selected="0">
            <x v="8"/>
          </reference>
          <reference field="8" count="1" selected="0">
            <x v="2"/>
          </reference>
          <reference field="10" count="1" selected="0">
            <x v="0"/>
          </reference>
          <reference field="12" count="1">
            <x v="27"/>
          </reference>
        </references>
      </pivotArea>
    </format>
    <format dxfId="1072">
      <pivotArea dataOnly="0" labelOnly="1" outline="0" fieldPosition="0">
        <references count="6">
          <reference field="0" count="1" selected="0">
            <x v="0"/>
          </reference>
          <reference field="4" count="1" selected="0">
            <x v="0"/>
          </reference>
          <reference field="5" count="1" selected="0">
            <x v="9"/>
          </reference>
          <reference field="8" count="1" selected="0">
            <x v="2"/>
          </reference>
          <reference field="10" count="1" selected="0">
            <x v="0"/>
          </reference>
          <reference field="12" count="1">
            <x v="28"/>
          </reference>
        </references>
      </pivotArea>
    </format>
    <format dxfId="1071">
      <pivotArea dataOnly="0" labelOnly="1" outline="0" fieldPosition="0">
        <references count="6">
          <reference field="0" count="1" selected="0">
            <x v="1"/>
          </reference>
          <reference field="4" count="1" selected="0">
            <x v="0"/>
          </reference>
          <reference field="5" count="1" selected="0">
            <x v="9"/>
          </reference>
          <reference field="8" count="1" selected="0">
            <x v="2"/>
          </reference>
          <reference field="10" count="1" selected="0">
            <x v="0"/>
          </reference>
          <reference field="12" count="1">
            <x v="31"/>
          </reference>
        </references>
      </pivotArea>
    </format>
    <format dxfId="1070">
      <pivotArea dataOnly="0" labelOnly="1" outline="0" fieldPosition="0">
        <references count="6">
          <reference field="0" count="1" selected="0">
            <x v="2"/>
          </reference>
          <reference field="4" count="1" selected="0">
            <x v="0"/>
          </reference>
          <reference field="5" count="1" selected="0">
            <x v="9"/>
          </reference>
          <reference field="8" count="1" selected="0">
            <x v="2"/>
          </reference>
          <reference field="10" count="1" selected="0">
            <x v="0"/>
          </reference>
          <reference field="12" count="1">
            <x v="28"/>
          </reference>
        </references>
      </pivotArea>
    </format>
    <format dxfId="1069">
      <pivotArea dataOnly="0" labelOnly="1" outline="0" fieldPosition="0">
        <references count="6">
          <reference field="0" count="1" selected="0">
            <x v="3"/>
          </reference>
          <reference field="4" count="1" selected="0">
            <x v="0"/>
          </reference>
          <reference field="5" count="1" selected="0">
            <x v="10"/>
          </reference>
          <reference field="8" count="1" selected="0">
            <x v="2"/>
          </reference>
          <reference field="10" count="1" selected="0">
            <x v="0"/>
          </reference>
          <reference field="12" count="1">
            <x v="29"/>
          </reference>
        </references>
      </pivotArea>
    </format>
    <format dxfId="1068">
      <pivotArea dataOnly="0" labelOnly="1" outline="0" fieldPosition="0">
        <references count="6">
          <reference field="0" count="1" selected="0">
            <x v="4"/>
          </reference>
          <reference field="4" count="1" selected="0">
            <x v="0"/>
          </reference>
          <reference field="5" count="1" selected="0">
            <x v="10"/>
          </reference>
          <reference field="8" count="1" selected="0">
            <x v="2"/>
          </reference>
          <reference field="10" count="1" selected="0">
            <x v="0"/>
          </reference>
          <reference field="12" count="1">
            <x v="32"/>
          </reference>
        </references>
      </pivotArea>
    </format>
    <format dxfId="1067">
      <pivotArea dataOnly="0" labelOnly="1" outline="0" fieldPosition="0">
        <references count="6">
          <reference field="0" count="1" selected="0">
            <x v="5"/>
          </reference>
          <reference field="4" count="1" selected="0">
            <x v="0"/>
          </reference>
          <reference field="5" count="1" selected="0">
            <x v="10"/>
          </reference>
          <reference field="8" count="1" selected="0">
            <x v="2"/>
          </reference>
          <reference field="10" count="1" selected="0">
            <x v="0"/>
          </reference>
          <reference field="12" count="1">
            <x v="29"/>
          </reference>
        </references>
      </pivotArea>
    </format>
    <format dxfId="1066">
      <pivotArea dataOnly="0" labelOnly="1" outline="0" fieldPosition="0">
        <references count="6">
          <reference field="0" count="1" selected="0">
            <x v="6"/>
          </reference>
          <reference field="4" count="1" selected="0">
            <x v="0"/>
          </reference>
          <reference field="5" count="1" selected="0">
            <x v="11"/>
          </reference>
          <reference field="8" count="1" selected="0">
            <x v="2"/>
          </reference>
          <reference field="10" count="1" selected="0">
            <x v="0"/>
          </reference>
          <reference field="12" count="1">
            <x v="30"/>
          </reference>
        </references>
      </pivotArea>
    </format>
    <format dxfId="1065">
      <pivotArea dataOnly="0" labelOnly="1" outline="0" fieldPosition="0">
        <references count="6">
          <reference field="0" count="1" selected="0">
            <x v="7"/>
          </reference>
          <reference field="4" count="1" selected="0">
            <x v="0"/>
          </reference>
          <reference field="5" count="1" selected="0">
            <x v="11"/>
          </reference>
          <reference field="8" count="1" selected="0">
            <x v="2"/>
          </reference>
          <reference field="10" count="1" selected="0">
            <x v="0"/>
          </reference>
          <reference field="12" count="1">
            <x v="32"/>
          </reference>
        </references>
      </pivotArea>
    </format>
    <format dxfId="1064">
      <pivotArea dataOnly="0" labelOnly="1" outline="0" fieldPosition="0">
        <references count="6">
          <reference field="0" count="1" selected="0">
            <x v="8"/>
          </reference>
          <reference field="4" count="1" selected="0">
            <x v="0"/>
          </reference>
          <reference field="5" count="1" selected="0">
            <x v="11"/>
          </reference>
          <reference field="8" count="1" selected="0">
            <x v="2"/>
          </reference>
          <reference field="10" count="1" selected="0">
            <x v="0"/>
          </reference>
          <reference field="12" count="1">
            <x v="30"/>
          </reference>
        </references>
      </pivotArea>
    </format>
    <format dxfId="1063">
      <pivotArea dataOnly="0" labelOnly="1" outline="0" fieldPosition="0">
        <references count="7">
          <reference field="0" count="1" selected="0">
            <x v="9"/>
          </reference>
          <reference field="4" count="1" selected="0">
            <x v="2"/>
          </reference>
          <reference field="5" count="1" selected="0">
            <x v="0"/>
          </reference>
          <reference field="8" count="1" selected="0">
            <x v="6"/>
          </reference>
          <reference field="10" count="1" selected="0">
            <x v="0"/>
          </reference>
          <reference field="11" count="1">
            <x v="4"/>
          </reference>
          <reference field="12" count="1" selected="0">
            <x v="16"/>
          </reference>
        </references>
      </pivotArea>
    </format>
    <format dxfId="1062">
      <pivotArea dataOnly="0" labelOnly="1" outline="0" fieldPosition="0">
        <references count="7">
          <reference field="0" count="1" selected="0">
            <x v="12"/>
          </reference>
          <reference field="4" count="1" selected="0">
            <x v="2"/>
          </reference>
          <reference field="5" count="1" selected="0">
            <x v="0"/>
          </reference>
          <reference field="8" count="1" selected="0">
            <x v="7"/>
          </reference>
          <reference field="10" count="1" selected="0">
            <x v="0"/>
          </reference>
          <reference field="11" count="1">
            <x v="0"/>
          </reference>
          <reference field="12" count="1" selected="0">
            <x v="5"/>
          </reference>
        </references>
      </pivotArea>
    </format>
    <format dxfId="1061">
      <pivotArea dataOnly="0" labelOnly="1" outline="0" fieldPosition="0">
        <references count="7">
          <reference field="0" count="1" selected="0">
            <x v="13"/>
          </reference>
          <reference field="4" count="1" selected="0">
            <x v="2"/>
          </reference>
          <reference field="5" count="1" selected="0">
            <x v="0"/>
          </reference>
          <reference field="8" count="1" selected="0">
            <x v="7"/>
          </reference>
          <reference field="10" count="1" selected="0">
            <x v="0"/>
          </reference>
          <reference field="11" count="1">
            <x v="1"/>
          </reference>
          <reference field="12" count="1" selected="0">
            <x v="18"/>
          </reference>
        </references>
      </pivotArea>
    </format>
    <format dxfId="1060">
      <pivotArea dataOnly="0" labelOnly="1" outline="0" fieldPosition="0">
        <references count="7">
          <reference field="0" count="1" selected="0">
            <x v="14"/>
          </reference>
          <reference field="4" count="1" selected="0">
            <x v="2"/>
          </reference>
          <reference field="5" count="1" selected="0">
            <x v="0"/>
          </reference>
          <reference field="8" count="1" selected="0">
            <x v="5"/>
          </reference>
          <reference field="10" count="1" selected="0">
            <x v="2"/>
          </reference>
          <reference field="11" count="1">
            <x v="7"/>
          </reference>
          <reference field="12" count="1" selected="0">
            <x v="34"/>
          </reference>
        </references>
      </pivotArea>
    </format>
    <format dxfId="1059">
      <pivotArea dataOnly="0" labelOnly="1" outline="0" fieldPosition="0">
        <references count="7">
          <reference field="0" count="1" selected="0">
            <x v="15"/>
          </reference>
          <reference field="4" count="1" selected="0">
            <x v="2"/>
          </reference>
          <reference field="5" count="1" selected="0">
            <x v="1"/>
          </reference>
          <reference field="8" count="1" selected="0">
            <x v="1"/>
          </reference>
          <reference field="10" count="1" selected="0">
            <x v="0"/>
          </reference>
          <reference field="11" count="1">
            <x v="7"/>
          </reference>
          <reference field="12" count="1" selected="0">
            <x v="33"/>
          </reference>
        </references>
      </pivotArea>
    </format>
    <format dxfId="1058">
      <pivotArea dataOnly="0" labelOnly="1" outline="0" fieldPosition="0">
        <references count="7">
          <reference field="0" count="1" selected="0">
            <x v="21"/>
          </reference>
          <reference field="4" count="1" selected="0">
            <x v="2"/>
          </reference>
          <reference field="5" count="1" selected="0">
            <x v="2"/>
          </reference>
          <reference field="8" count="1" selected="0">
            <x v="6"/>
          </reference>
          <reference field="10" count="1" selected="0">
            <x v="0"/>
          </reference>
          <reference field="11" count="1">
            <x v="2"/>
          </reference>
          <reference field="12" count="1" selected="0">
            <x v="13"/>
          </reference>
        </references>
      </pivotArea>
    </format>
    <format dxfId="1057">
      <pivotArea dataOnly="0" labelOnly="1" outline="0" fieldPosition="0">
        <references count="7">
          <reference field="0" count="1" selected="0">
            <x v="22"/>
          </reference>
          <reference field="4" count="1" selected="0">
            <x v="2"/>
          </reference>
          <reference field="5" count="1" selected="0">
            <x v="2"/>
          </reference>
          <reference field="8" count="1" selected="0">
            <x v="6"/>
          </reference>
          <reference field="10" count="1" selected="0">
            <x v="0"/>
          </reference>
          <reference field="11" count="1">
            <x v="4"/>
          </reference>
          <reference field="12" count="1" selected="0">
            <x v="17"/>
          </reference>
        </references>
      </pivotArea>
    </format>
    <format dxfId="1056">
      <pivotArea dataOnly="0" labelOnly="1" outline="0" fieldPosition="0">
        <references count="7">
          <reference field="0" count="1" selected="0">
            <x v="24"/>
          </reference>
          <reference field="4" count="1" selected="0">
            <x v="2"/>
          </reference>
          <reference field="5" count="1" selected="0">
            <x v="2"/>
          </reference>
          <reference field="8" count="1" selected="0">
            <x v="7"/>
          </reference>
          <reference field="10" count="1" selected="0">
            <x v="0"/>
          </reference>
          <reference field="11" count="1">
            <x v="0"/>
          </reference>
          <reference field="12" count="1" selected="0">
            <x v="0"/>
          </reference>
        </references>
      </pivotArea>
    </format>
    <format dxfId="1055">
      <pivotArea dataOnly="0" labelOnly="1" outline="0" fieldPosition="0">
        <references count="7">
          <reference field="0" count="1" selected="0">
            <x v="25"/>
          </reference>
          <reference field="4" count="1" selected="0">
            <x v="2"/>
          </reference>
          <reference field="5" count="1" selected="0">
            <x v="2"/>
          </reference>
          <reference field="8" count="1" selected="0">
            <x v="7"/>
          </reference>
          <reference field="10" count="1" selected="0">
            <x v="0"/>
          </reference>
          <reference field="11" count="1">
            <x v="1"/>
          </reference>
          <reference field="12" count="1" selected="0">
            <x v="18"/>
          </reference>
        </references>
      </pivotArea>
    </format>
    <format dxfId="1054">
      <pivotArea dataOnly="0" labelOnly="1" outline="0" fieldPosition="0">
        <references count="7">
          <reference field="0" count="1" selected="0">
            <x v="26"/>
          </reference>
          <reference field="4" count="1" selected="0">
            <x v="2"/>
          </reference>
          <reference field="5" count="1" selected="0">
            <x v="2"/>
          </reference>
          <reference field="8" count="1" selected="0">
            <x v="5"/>
          </reference>
          <reference field="10" count="1" selected="0">
            <x v="2"/>
          </reference>
          <reference field="11" count="1">
            <x v="7"/>
          </reference>
          <reference field="12" count="1" selected="0">
            <x v="34"/>
          </reference>
        </references>
      </pivotArea>
    </format>
    <format dxfId="1053">
      <pivotArea dataOnly="0" labelOnly="1" outline="0" fieldPosition="0">
        <references count="7">
          <reference field="0" count="1" selected="0">
            <x v="27"/>
          </reference>
          <reference field="4" count="1" selected="0">
            <x v="2"/>
          </reference>
          <reference field="5" count="1" selected="0">
            <x v="3"/>
          </reference>
          <reference field="8" count="1" selected="0">
            <x v="7"/>
          </reference>
          <reference field="10" count="1" selected="0">
            <x v="0"/>
          </reference>
          <reference field="11" count="1">
            <x v="6"/>
          </reference>
          <reference field="12" count="1" selected="0">
            <x v="6"/>
          </reference>
        </references>
      </pivotArea>
    </format>
    <format dxfId="1052">
      <pivotArea dataOnly="0" labelOnly="1" outline="0" fieldPosition="0">
        <references count="7">
          <reference field="0" count="1" selected="0">
            <x v="29"/>
          </reference>
          <reference field="4" count="1" selected="0">
            <x v="2"/>
          </reference>
          <reference field="5" count="1" selected="0">
            <x v="3"/>
          </reference>
          <reference field="8" count="1" selected="0">
            <x v="3"/>
          </reference>
          <reference field="10" count="1" selected="0">
            <x v="0"/>
          </reference>
          <reference field="11" count="1">
            <x v="4"/>
          </reference>
          <reference field="12" count="1" selected="0">
            <x v="11"/>
          </reference>
        </references>
      </pivotArea>
    </format>
    <format dxfId="1051">
      <pivotArea dataOnly="0" labelOnly="1" outline="0" fieldPosition="0">
        <references count="7">
          <reference field="0" count="1" selected="0">
            <x v="30"/>
          </reference>
          <reference field="4" count="1" selected="0">
            <x v="2"/>
          </reference>
          <reference field="5" count="1" selected="0">
            <x v="3"/>
          </reference>
          <reference field="8" count="1" selected="0">
            <x v="4"/>
          </reference>
          <reference field="10" count="1" selected="0">
            <x v="1"/>
          </reference>
          <reference field="11" count="1">
            <x v="0"/>
          </reference>
          <reference field="12" count="1" selected="0">
            <x v="5"/>
          </reference>
        </references>
      </pivotArea>
    </format>
    <format dxfId="1050">
      <pivotArea dataOnly="0" labelOnly="1" outline="0" fieldPosition="0">
        <references count="7">
          <reference field="0" count="1" selected="0">
            <x v="31"/>
          </reference>
          <reference field="4" count="1" selected="0">
            <x v="2"/>
          </reference>
          <reference field="5" count="1" selected="0">
            <x v="3"/>
          </reference>
          <reference field="8" count="1" selected="0">
            <x v="0"/>
          </reference>
          <reference field="10" count="1" selected="0">
            <x v="0"/>
          </reference>
          <reference field="11" count="1">
            <x v="6"/>
          </reference>
          <reference field="12" count="1" selected="0">
            <x v="9"/>
          </reference>
        </references>
      </pivotArea>
    </format>
    <format dxfId="1049">
      <pivotArea dataOnly="0" labelOnly="1" outline="0" fieldPosition="0">
        <references count="7">
          <reference field="0" count="1" selected="0">
            <x v="35"/>
          </reference>
          <reference field="4" count="1" selected="0">
            <x v="1"/>
          </reference>
          <reference field="5" count="1" selected="0">
            <x v="4"/>
          </reference>
          <reference field="8" count="1" selected="0">
            <x v="3"/>
          </reference>
          <reference field="10" count="1" selected="0">
            <x v="1"/>
          </reference>
          <reference field="11" count="1">
            <x v="4"/>
          </reference>
          <reference field="12" count="1" selected="0">
            <x v="4"/>
          </reference>
        </references>
      </pivotArea>
    </format>
    <format dxfId="1048">
      <pivotArea dataOnly="0" labelOnly="1" outline="0" fieldPosition="0">
        <references count="7">
          <reference field="0" count="1" selected="0">
            <x v="37"/>
          </reference>
          <reference field="4" count="1" selected="0">
            <x v="1"/>
          </reference>
          <reference field="5" count="1" selected="0">
            <x v="4"/>
          </reference>
          <reference field="8" count="1" selected="0">
            <x v="5"/>
          </reference>
          <reference field="10" count="1" selected="0">
            <x v="2"/>
          </reference>
          <reference field="11" count="1">
            <x v="7"/>
          </reference>
          <reference field="12" count="1" selected="0">
            <x v="34"/>
          </reference>
        </references>
      </pivotArea>
    </format>
    <format dxfId="1047">
      <pivotArea dataOnly="0" labelOnly="1" outline="0" fieldPosition="0">
        <references count="7">
          <reference field="0" count="1" selected="0">
            <x v="38"/>
          </reference>
          <reference field="4" count="1" selected="0">
            <x v="1"/>
          </reference>
          <reference field="5" count="1" selected="0">
            <x v="4"/>
          </reference>
          <reference field="8" count="1" selected="0">
            <x v="4"/>
          </reference>
          <reference field="10" count="1" selected="0">
            <x v="1"/>
          </reference>
          <reference field="11" count="1">
            <x v="0"/>
          </reference>
          <reference field="12" count="1" selected="0">
            <x v="0"/>
          </reference>
        </references>
      </pivotArea>
    </format>
    <format dxfId="1046">
      <pivotArea dataOnly="0" labelOnly="1" outline="0" fieldPosition="0">
        <references count="7">
          <reference field="0" count="1" selected="0">
            <x v="39"/>
          </reference>
          <reference field="4" count="1" selected="0">
            <x v="1"/>
          </reference>
          <reference field="5" count="1" selected="0">
            <x v="5"/>
          </reference>
          <reference field="8" count="1" selected="0">
            <x v="6"/>
          </reference>
          <reference field="10" count="1" selected="0">
            <x v="0"/>
          </reference>
          <reference field="11" count="1">
            <x v="1"/>
          </reference>
          <reference field="12" count="1" selected="0">
            <x v="22"/>
          </reference>
        </references>
      </pivotArea>
    </format>
    <format dxfId="1045">
      <pivotArea dataOnly="0" labelOnly="1" outline="0" fieldPosition="0">
        <references count="7">
          <reference field="0" count="1" selected="0">
            <x v="40"/>
          </reference>
          <reference field="4" count="1" selected="0">
            <x v="1"/>
          </reference>
          <reference field="5" count="1" selected="0">
            <x v="5"/>
          </reference>
          <reference field="8" count="1" selected="0">
            <x v="3"/>
          </reference>
          <reference field="10" count="1" selected="0">
            <x v="0"/>
          </reference>
          <reference field="11" count="1">
            <x v="6"/>
          </reference>
          <reference field="12" count="1" selected="0">
            <x v="12"/>
          </reference>
        </references>
      </pivotArea>
    </format>
    <format dxfId="1044">
      <pivotArea dataOnly="0" labelOnly="1" outline="0" fieldPosition="0">
        <references count="7">
          <reference field="0" count="1" selected="0">
            <x v="43"/>
          </reference>
          <reference field="4" count="1" selected="0">
            <x v="1"/>
          </reference>
          <reference field="5" count="1" selected="0">
            <x v="5"/>
          </reference>
          <reference field="8" count="1" selected="0">
            <x v="3"/>
          </reference>
          <reference field="10" count="1" selected="0">
            <x v="0"/>
          </reference>
          <reference field="11" count="1">
            <x v="4"/>
          </reference>
          <reference field="12" count="1" selected="0">
            <x v="21"/>
          </reference>
        </references>
      </pivotArea>
    </format>
    <format dxfId="1043">
      <pivotArea dataOnly="0" labelOnly="1" outline="0" fieldPosition="0">
        <references count="7">
          <reference field="0" count="1" selected="0">
            <x v="44"/>
          </reference>
          <reference field="4" count="1" selected="0">
            <x v="1"/>
          </reference>
          <reference field="5" count="1" selected="0">
            <x v="5"/>
          </reference>
          <reference field="8" count="1" selected="0">
            <x v="3"/>
          </reference>
          <reference field="10" count="1" selected="0">
            <x v="0"/>
          </reference>
          <reference field="11" count="1">
            <x v="1"/>
          </reference>
          <reference field="12" count="1" selected="0">
            <x v="13"/>
          </reference>
        </references>
      </pivotArea>
    </format>
    <format dxfId="1042">
      <pivotArea dataOnly="0" labelOnly="1" outline="0" fieldPosition="0">
        <references count="7">
          <reference field="0" count="1" selected="0">
            <x v="49"/>
          </reference>
          <reference field="4" count="1" selected="0">
            <x v="1"/>
          </reference>
          <reference field="5" count="1" selected="0">
            <x v="5"/>
          </reference>
          <reference field="8" count="1" selected="0">
            <x v="7"/>
          </reference>
          <reference field="10" count="1" selected="0">
            <x v="0"/>
          </reference>
          <reference field="11" count="1">
            <x v="0"/>
          </reference>
          <reference field="12" count="1" selected="0">
            <x v="15"/>
          </reference>
        </references>
      </pivotArea>
    </format>
    <format dxfId="1041">
      <pivotArea dataOnly="0" labelOnly="1" outline="0" fieldPosition="0">
        <references count="7">
          <reference field="0" count="1" selected="0">
            <x v="50"/>
          </reference>
          <reference field="4" count="1" selected="0">
            <x v="1"/>
          </reference>
          <reference field="5" count="1" selected="0">
            <x v="5"/>
          </reference>
          <reference field="8" count="1" selected="0">
            <x v="6"/>
          </reference>
          <reference field="10" count="1" selected="0">
            <x v="0"/>
          </reference>
          <reference field="11" count="1">
            <x v="4"/>
          </reference>
          <reference field="12" count="1" selected="0">
            <x v="20"/>
          </reference>
        </references>
      </pivotArea>
    </format>
    <format dxfId="1040">
      <pivotArea dataOnly="0" labelOnly="1" outline="0" fieldPosition="0">
        <references count="7">
          <reference field="0" count="1" selected="0">
            <x v="52"/>
          </reference>
          <reference field="4" count="1" selected="0">
            <x v="1"/>
          </reference>
          <reference field="5" count="1" selected="0">
            <x v="6"/>
          </reference>
          <reference field="8" count="1" selected="0">
            <x v="3"/>
          </reference>
          <reference field="10" count="1" selected="0">
            <x v="0"/>
          </reference>
          <reference field="11" count="1">
            <x v="4"/>
          </reference>
          <reference field="12" count="1" selected="0">
            <x v="21"/>
          </reference>
        </references>
      </pivotArea>
    </format>
    <format dxfId="1039">
      <pivotArea dataOnly="0" labelOnly="1" outline="0" fieldPosition="0">
        <references count="7">
          <reference field="0" count="1" selected="0">
            <x v="53"/>
          </reference>
          <reference field="4" count="1" selected="0">
            <x v="1"/>
          </reference>
          <reference field="5" count="1" selected="0">
            <x v="6"/>
          </reference>
          <reference field="8" count="1" selected="0">
            <x v="6"/>
          </reference>
          <reference field="10" count="1" selected="0">
            <x v="0"/>
          </reference>
          <reference field="11" count="1">
            <x v="0"/>
          </reference>
          <reference field="12" count="1" selected="0">
            <x v="15"/>
          </reference>
        </references>
      </pivotArea>
    </format>
    <format dxfId="1038">
      <pivotArea dataOnly="0" labelOnly="1" outline="0" fieldPosition="0">
        <references count="7">
          <reference field="0" count="1" selected="0">
            <x v="58"/>
          </reference>
          <reference field="4" count="1" selected="0">
            <x v="1"/>
          </reference>
          <reference field="5" count="1" selected="0">
            <x v="6"/>
          </reference>
          <reference field="8" count="1" selected="0">
            <x v="3"/>
          </reference>
          <reference field="10" count="1" selected="0">
            <x v="0"/>
          </reference>
          <reference field="11" count="1">
            <x v="4"/>
          </reference>
          <reference field="12" count="1" selected="0">
            <x v="24"/>
          </reference>
        </references>
      </pivotArea>
    </format>
    <format dxfId="1037">
      <pivotArea dataOnly="0" labelOnly="1" outline="0" fieldPosition="0">
        <references count="7">
          <reference field="0" count="1" selected="0">
            <x v="64"/>
          </reference>
          <reference field="4" count="1" selected="0">
            <x v="1"/>
          </reference>
          <reference field="5" count="1" selected="0">
            <x v="6"/>
          </reference>
          <reference field="8" count="1" selected="0">
            <x v="6"/>
          </reference>
          <reference field="10" count="1" selected="0">
            <x v="0"/>
          </reference>
          <reference field="11" count="1">
            <x v="5"/>
          </reference>
          <reference field="12" count="1" selected="0">
            <x v="35"/>
          </reference>
        </references>
      </pivotArea>
    </format>
    <format dxfId="1036">
      <pivotArea dataOnly="0" labelOnly="1" outline="0" fieldPosition="0">
        <references count="7">
          <reference field="0" count="1" selected="0">
            <x v="65"/>
          </reference>
          <reference field="4" count="1" selected="0">
            <x v="1"/>
          </reference>
          <reference field="5" count="1" selected="0">
            <x v="6"/>
          </reference>
          <reference field="8" count="1" selected="0">
            <x v="7"/>
          </reference>
          <reference field="10" count="1" selected="0">
            <x v="0"/>
          </reference>
          <reference field="11" count="1">
            <x v="0"/>
          </reference>
          <reference field="12" count="1" selected="0">
            <x v="0"/>
          </reference>
        </references>
      </pivotArea>
    </format>
    <format dxfId="1035">
      <pivotArea dataOnly="0" labelOnly="1" outline="0" fieldPosition="0">
        <references count="7">
          <reference field="0" count="1" selected="0">
            <x v="67"/>
          </reference>
          <reference field="4" count="1" selected="0">
            <x v="0"/>
          </reference>
          <reference field="5" count="1" selected="0">
            <x v="7"/>
          </reference>
          <reference field="8" count="1" selected="0">
            <x v="2"/>
          </reference>
          <reference field="10" count="1" selected="0">
            <x v="0"/>
          </reference>
          <reference field="11" count="1">
            <x v="0"/>
          </reference>
          <reference field="12" count="1" selected="0">
            <x v="25"/>
          </reference>
        </references>
      </pivotArea>
    </format>
    <format dxfId="1034">
      <pivotArea dataOnly="0" labelOnly="1" outline="0" fieldPosition="0">
        <references count="7">
          <reference field="0" count="1" selected="0">
            <x v="68"/>
          </reference>
          <reference field="4" count="1" selected="0">
            <x v="0"/>
          </reference>
          <reference field="5" count="1" selected="0">
            <x v="7"/>
          </reference>
          <reference field="8" count="1" selected="0">
            <x v="2"/>
          </reference>
          <reference field="10" count="1" selected="0">
            <x v="0"/>
          </reference>
          <reference field="11" count="1">
            <x v="1"/>
          </reference>
          <reference field="12" count="1" selected="0">
            <x v="26"/>
          </reference>
        </references>
      </pivotArea>
    </format>
    <format dxfId="1033">
      <pivotArea dataOnly="0" labelOnly="1" outline="0" fieldPosition="0">
        <references count="7">
          <reference field="0" count="1" selected="0">
            <x v="69"/>
          </reference>
          <reference field="4" count="1" selected="0">
            <x v="0"/>
          </reference>
          <reference field="5" count="1" selected="0">
            <x v="7"/>
          </reference>
          <reference field="8" count="1" selected="0">
            <x v="2"/>
          </reference>
          <reference field="10" count="1" selected="0">
            <x v="0"/>
          </reference>
          <reference field="11" count="1">
            <x v="0"/>
          </reference>
          <reference field="12" count="1" selected="0">
            <x v="25"/>
          </reference>
        </references>
      </pivotArea>
    </format>
    <format dxfId="1032">
      <pivotArea dataOnly="0" labelOnly="1" outline="0" fieldPosition="0">
        <references count="7">
          <reference field="0" count="1" selected="0">
            <x v="70"/>
          </reference>
          <reference field="4" count="1" selected="0">
            <x v="0"/>
          </reference>
          <reference field="5" count="1" selected="0">
            <x v="8"/>
          </reference>
          <reference field="8" count="1" selected="0">
            <x v="2"/>
          </reference>
          <reference field="10" count="1" selected="0">
            <x v="0"/>
          </reference>
          <reference field="11" count="1">
            <x v="0"/>
          </reference>
          <reference field="12" count="1" selected="0">
            <x v="8"/>
          </reference>
        </references>
      </pivotArea>
    </format>
    <format dxfId="1031">
      <pivotArea dataOnly="0" labelOnly="1" outline="0" fieldPosition="0">
        <references count="7">
          <reference field="0" count="1" selected="0">
            <x v="71"/>
          </reference>
          <reference field="4" count="1" selected="0">
            <x v="0"/>
          </reference>
          <reference field="5" count="1" selected="0">
            <x v="8"/>
          </reference>
          <reference field="8" count="1" selected="0">
            <x v="2"/>
          </reference>
          <reference field="10" count="1" selected="0">
            <x v="0"/>
          </reference>
          <reference field="11" count="1">
            <x v="5"/>
          </reference>
          <reference field="12" count="1" selected="0">
            <x v="20"/>
          </reference>
        </references>
      </pivotArea>
    </format>
    <format dxfId="1030">
      <pivotArea dataOnly="0" labelOnly="1" outline="0" fieldPosition="0">
        <references count="7">
          <reference field="0" count="1" selected="0">
            <x v="72"/>
          </reference>
          <reference field="4" count="1" selected="0">
            <x v="0"/>
          </reference>
          <reference field="5" count="1" selected="0">
            <x v="8"/>
          </reference>
          <reference field="8" count="1" selected="0">
            <x v="2"/>
          </reference>
          <reference field="10" count="1" selected="0">
            <x v="0"/>
          </reference>
          <reference field="11" count="1">
            <x v="0"/>
          </reference>
          <reference field="12" count="1" selected="0">
            <x v="27"/>
          </reference>
        </references>
      </pivotArea>
    </format>
    <format dxfId="1029">
      <pivotArea dataOnly="0" labelOnly="1" outline="0" fieldPosition="0">
        <references count="7">
          <reference field="0" count="1" selected="0">
            <x v="0"/>
          </reference>
          <reference field="4" count="1" selected="0">
            <x v="0"/>
          </reference>
          <reference field="5" count="1" selected="0">
            <x v="9"/>
          </reference>
          <reference field="8" count="1" selected="0">
            <x v="2"/>
          </reference>
          <reference field="10" count="1" selected="0">
            <x v="0"/>
          </reference>
          <reference field="11" count="1">
            <x v="0"/>
          </reference>
          <reference field="12" count="1" selected="0">
            <x v="28"/>
          </reference>
        </references>
      </pivotArea>
    </format>
    <format dxfId="1028">
      <pivotArea dataOnly="0" labelOnly="1" outline="0" fieldPosition="0">
        <references count="7">
          <reference field="0" count="1" selected="0">
            <x v="1"/>
          </reference>
          <reference field="4" count="1" selected="0">
            <x v="0"/>
          </reference>
          <reference field="5" count="1" selected="0">
            <x v="9"/>
          </reference>
          <reference field="8" count="1" selected="0">
            <x v="2"/>
          </reference>
          <reference field="10" count="1" selected="0">
            <x v="0"/>
          </reference>
          <reference field="11" count="1">
            <x v="5"/>
          </reference>
          <reference field="12" count="1" selected="0">
            <x v="31"/>
          </reference>
        </references>
      </pivotArea>
    </format>
    <format dxfId="1027">
      <pivotArea dataOnly="0" labelOnly="1" outline="0" fieldPosition="0">
        <references count="7">
          <reference field="0" count="1" selected="0">
            <x v="2"/>
          </reference>
          <reference field="4" count="1" selected="0">
            <x v="0"/>
          </reference>
          <reference field="5" count="1" selected="0">
            <x v="9"/>
          </reference>
          <reference field="8" count="1" selected="0">
            <x v="2"/>
          </reference>
          <reference field="10" count="1" selected="0">
            <x v="0"/>
          </reference>
          <reference field="11" count="1">
            <x v="0"/>
          </reference>
          <reference field="12" count="1" selected="0">
            <x v="28"/>
          </reference>
        </references>
      </pivotArea>
    </format>
    <format dxfId="1026">
      <pivotArea dataOnly="0" labelOnly="1" outline="0" fieldPosition="0">
        <references count="7">
          <reference field="0" count="1" selected="0">
            <x v="3"/>
          </reference>
          <reference field="4" count="1" selected="0">
            <x v="0"/>
          </reference>
          <reference field="5" count="1" selected="0">
            <x v="10"/>
          </reference>
          <reference field="8" count="1" selected="0">
            <x v="2"/>
          </reference>
          <reference field="10" count="1" selected="0">
            <x v="0"/>
          </reference>
          <reference field="11" count="1">
            <x v="3"/>
          </reference>
          <reference field="12" count="1" selected="0">
            <x v="29"/>
          </reference>
        </references>
      </pivotArea>
    </format>
    <format dxfId="1025">
      <pivotArea dataOnly="0" labelOnly="1" outline="0" fieldPosition="0">
        <references count="7">
          <reference field="0" count="1" selected="0">
            <x v="4"/>
          </reference>
          <reference field="4" count="1" selected="0">
            <x v="0"/>
          </reference>
          <reference field="5" count="1" selected="0">
            <x v="10"/>
          </reference>
          <reference field="8" count="1" selected="0">
            <x v="2"/>
          </reference>
          <reference field="10" count="1" selected="0">
            <x v="0"/>
          </reference>
          <reference field="11" count="1">
            <x v="5"/>
          </reference>
          <reference field="12" count="1" selected="0">
            <x v="32"/>
          </reference>
        </references>
      </pivotArea>
    </format>
    <format dxfId="1024">
      <pivotArea dataOnly="0" labelOnly="1" outline="0" fieldPosition="0">
        <references count="7">
          <reference field="0" count="1" selected="0">
            <x v="5"/>
          </reference>
          <reference field="4" count="1" selected="0">
            <x v="0"/>
          </reference>
          <reference field="5" count="1" selected="0">
            <x v="10"/>
          </reference>
          <reference field="8" count="1" selected="0">
            <x v="2"/>
          </reference>
          <reference field="10" count="1" selected="0">
            <x v="0"/>
          </reference>
          <reference field="11" count="1">
            <x v="3"/>
          </reference>
          <reference field="12" count="1" selected="0">
            <x v="29"/>
          </reference>
        </references>
      </pivotArea>
    </format>
    <format dxfId="1023">
      <pivotArea dataOnly="0" labelOnly="1" outline="0" fieldPosition="0">
        <references count="7">
          <reference field="0" count="1" selected="0">
            <x v="6"/>
          </reference>
          <reference field="4" count="1" selected="0">
            <x v="0"/>
          </reference>
          <reference field="5" count="1" selected="0">
            <x v="11"/>
          </reference>
          <reference field="8" count="1" selected="0">
            <x v="2"/>
          </reference>
          <reference field="10" count="1" selected="0">
            <x v="0"/>
          </reference>
          <reference field="11" count="1">
            <x v="3"/>
          </reference>
          <reference field="12" count="1" selected="0">
            <x v="30"/>
          </reference>
        </references>
      </pivotArea>
    </format>
    <format dxfId="1022">
      <pivotArea dataOnly="0" labelOnly="1" outline="0" fieldPosition="0">
        <references count="7">
          <reference field="0" count="1" selected="0">
            <x v="7"/>
          </reference>
          <reference field="4" count="1" selected="0">
            <x v="0"/>
          </reference>
          <reference field="5" count="1" selected="0">
            <x v="11"/>
          </reference>
          <reference field="8" count="1" selected="0">
            <x v="2"/>
          </reference>
          <reference field="10" count="1" selected="0">
            <x v="0"/>
          </reference>
          <reference field="11" count="1">
            <x v="5"/>
          </reference>
          <reference field="12" count="1" selected="0">
            <x v="32"/>
          </reference>
        </references>
      </pivotArea>
    </format>
    <format dxfId="1021">
      <pivotArea dataOnly="0" labelOnly="1" outline="0" fieldPosition="0">
        <references count="7">
          <reference field="0" count="1" selected="0">
            <x v="8"/>
          </reference>
          <reference field="4" count="1" selected="0">
            <x v="0"/>
          </reference>
          <reference field="5" count="1" selected="0">
            <x v="11"/>
          </reference>
          <reference field="8" count="1" selected="0">
            <x v="2"/>
          </reference>
          <reference field="10" count="1" selected="0">
            <x v="0"/>
          </reference>
          <reference field="11" count="1">
            <x v="3"/>
          </reference>
          <reference field="12" count="1" selected="0">
            <x v="30"/>
          </reference>
        </references>
      </pivotArea>
    </format>
    <format dxfId="1020">
      <pivotArea dataOnly="0" labelOnly="1" outline="0" fieldPosition="0">
        <references count="8">
          <reference field="0" count="1" selected="0">
            <x v="9"/>
          </reference>
          <reference field="4" count="1" selected="0">
            <x v="2"/>
          </reference>
          <reference field="5" count="1" selected="0">
            <x v="0"/>
          </reference>
          <reference field="8" count="1" selected="0">
            <x v="6"/>
          </reference>
          <reference field="10" count="1" selected="0">
            <x v="0"/>
          </reference>
          <reference field="11" count="1" selected="0">
            <x v="4"/>
          </reference>
          <reference field="12" count="1" selected="0">
            <x v="16"/>
          </reference>
          <reference field="13" count="1">
            <x v="5"/>
          </reference>
        </references>
      </pivotArea>
    </format>
    <format dxfId="1019">
      <pivotArea dataOnly="0" labelOnly="1" outline="0" fieldPosition="0">
        <references count="8">
          <reference field="0" count="1" selected="0">
            <x v="10"/>
          </reference>
          <reference field="4" count="1" selected="0">
            <x v="2"/>
          </reference>
          <reference field="5" count="1" selected="0">
            <x v="0"/>
          </reference>
          <reference field="8" count="1" selected="0">
            <x v="6"/>
          </reference>
          <reference field="10" count="1" selected="0">
            <x v="0"/>
          </reference>
          <reference field="11" count="1" selected="0">
            <x v="4"/>
          </reference>
          <reference field="12" count="1" selected="0">
            <x v="14"/>
          </reference>
          <reference field="13" count="1">
            <x v="19"/>
          </reference>
        </references>
      </pivotArea>
    </format>
    <format dxfId="1018">
      <pivotArea dataOnly="0" labelOnly="1" outline="0" fieldPosition="0">
        <references count="8">
          <reference field="0" count="1" selected="0">
            <x v="11"/>
          </reference>
          <reference field="4" count="1" selected="0">
            <x v="2"/>
          </reference>
          <reference field="5" count="1" selected="0">
            <x v="0"/>
          </reference>
          <reference field="8" count="1" selected="0">
            <x v="3"/>
          </reference>
          <reference field="10" count="1" selected="0">
            <x v="0"/>
          </reference>
          <reference field="11" count="1" selected="0">
            <x v="4"/>
          </reference>
          <reference field="12" count="1" selected="0">
            <x v="11"/>
          </reference>
          <reference field="13" count="1">
            <x v="21"/>
          </reference>
        </references>
      </pivotArea>
    </format>
    <format dxfId="1017">
      <pivotArea dataOnly="0" labelOnly="1" outline="0" fieldPosition="0">
        <references count="8">
          <reference field="0" count="1" selected="0">
            <x v="12"/>
          </reference>
          <reference field="4" count="1" selected="0">
            <x v="2"/>
          </reference>
          <reference field="5" count="1" selected="0">
            <x v="0"/>
          </reference>
          <reference field="8" count="1" selected="0">
            <x v="7"/>
          </reference>
          <reference field="10" count="1" selected="0">
            <x v="0"/>
          </reference>
          <reference field="11" count="1" selected="0">
            <x v="0"/>
          </reference>
          <reference field="12" count="1" selected="0">
            <x v="5"/>
          </reference>
          <reference field="13" count="1">
            <x v="7"/>
          </reference>
        </references>
      </pivotArea>
    </format>
    <format dxfId="1016">
      <pivotArea dataOnly="0" labelOnly="1" outline="0" fieldPosition="0">
        <references count="8">
          <reference field="0" count="1" selected="0">
            <x v="12"/>
          </reference>
          <reference field="4" count="1" selected="0">
            <x v="2"/>
          </reference>
          <reference field="5" count="1" selected="0">
            <x v="0"/>
          </reference>
          <reference field="8" count="1" selected="0">
            <x v="7"/>
          </reference>
          <reference field="10" count="1" selected="0">
            <x v="0"/>
          </reference>
          <reference field="11" count="1" selected="0">
            <x v="0"/>
          </reference>
          <reference field="12" count="1" selected="0">
            <x v="8"/>
          </reference>
          <reference field="13" count="1">
            <x v="8"/>
          </reference>
        </references>
      </pivotArea>
    </format>
    <format dxfId="1015">
      <pivotArea dataOnly="0" labelOnly="1" outline="0" fieldPosition="0">
        <references count="8">
          <reference field="0" count="1" selected="0">
            <x v="13"/>
          </reference>
          <reference field="4" count="1" selected="0">
            <x v="2"/>
          </reference>
          <reference field="5" count="1" selected="0">
            <x v="0"/>
          </reference>
          <reference field="8" count="1" selected="0">
            <x v="7"/>
          </reference>
          <reference field="10" count="1" selected="0">
            <x v="0"/>
          </reference>
          <reference field="11" count="1" selected="0">
            <x v="0"/>
          </reference>
          <reference field="12" count="1" selected="0">
            <x v="15"/>
          </reference>
          <reference field="13" count="1">
            <x v="34"/>
          </reference>
        </references>
      </pivotArea>
    </format>
    <format dxfId="1014">
      <pivotArea dataOnly="0" labelOnly="1" outline="0" fieldPosition="0">
        <references count="8">
          <reference field="0" count="1" selected="0">
            <x v="13"/>
          </reference>
          <reference field="4" count="1" selected="0">
            <x v="2"/>
          </reference>
          <reference field="5" count="1" selected="0">
            <x v="0"/>
          </reference>
          <reference field="8" count="1" selected="0">
            <x v="7"/>
          </reference>
          <reference field="10" count="1" selected="0">
            <x v="0"/>
          </reference>
          <reference field="11" count="1" selected="0">
            <x v="1"/>
          </reference>
          <reference field="12" count="1" selected="0">
            <x v="18"/>
          </reference>
          <reference field="13" count="1">
            <x v="24"/>
          </reference>
        </references>
      </pivotArea>
    </format>
    <format dxfId="1013">
      <pivotArea dataOnly="0" labelOnly="1" outline="0" fieldPosition="0">
        <references count="8">
          <reference field="0" count="1" selected="0">
            <x v="14"/>
          </reference>
          <reference field="4" count="1" selected="0">
            <x v="2"/>
          </reference>
          <reference field="5" count="1" selected="0">
            <x v="0"/>
          </reference>
          <reference field="8" count="1" selected="0">
            <x v="5"/>
          </reference>
          <reference field="10" count="1" selected="0">
            <x v="2"/>
          </reference>
          <reference field="11" count="1" selected="0">
            <x v="7"/>
          </reference>
          <reference field="12" count="1" selected="0">
            <x v="34"/>
          </reference>
          <reference field="13" count="1">
            <x v="18"/>
          </reference>
        </references>
      </pivotArea>
    </format>
    <format dxfId="1012">
      <pivotArea dataOnly="0" labelOnly="1" outline="0" fieldPosition="0">
        <references count="8">
          <reference field="0" count="1" selected="0">
            <x v="15"/>
          </reference>
          <reference field="4" count="1" selected="0">
            <x v="2"/>
          </reference>
          <reference field="5" count="1" selected="0">
            <x v="1"/>
          </reference>
          <reference field="8" count="1" selected="0">
            <x v="1"/>
          </reference>
          <reference field="10" count="1" selected="0">
            <x v="0"/>
          </reference>
          <reference field="11" count="1" selected="0">
            <x v="7"/>
          </reference>
          <reference field="12" count="1" selected="0">
            <x v="33"/>
          </reference>
          <reference field="13" count="1">
            <x v="2"/>
          </reference>
        </references>
      </pivotArea>
    </format>
    <format dxfId="1011">
      <pivotArea dataOnly="0" labelOnly="1" outline="0" fieldPosition="0">
        <references count="8">
          <reference field="0" count="1" selected="0">
            <x v="21"/>
          </reference>
          <reference field="4" count="1" selected="0">
            <x v="2"/>
          </reference>
          <reference field="5" count="1" selected="0">
            <x v="2"/>
          </reference>
          <reference field="8" count="1" selected="0">
            <x v="6"/>
          </reference>
          <reference field="10" count="1" selected="0">
            <x v="0"/>
          </reference>
          <reference field="11" count="1" selected="0">
            <x v="2"/>
          </reference>
          <reference field="12" count="1" selected="0">
            <x v="13"/>
          </reference>
          <reference field="13" count="1">
            <x v="4"/>
          </reference>
        </references>
      </pivotArea>
    </format>
    <format dxfId="1010">
      <pivotArea dataOnly="0" labelOnly="1" outline="0" fieldPosition="0">
        <references count="8">
          <reference field="0" count="1" selected="0">
            <x v="22"/>
          </reference>
          <reference field="4" count="1" selected="0">
            <x v="2"/>
          </reference>
          <reference field="5" count="1" selected="0">
            <x v="2"/>
          </reference>
          <reference field="8" count="1" selected="0">
            <x v="6"/>
          </reference>
          <reference field="10" count="1" selected="0">
            <x v="0"/>
          </reference>
          <reference field="11" count="1" selected="0">
            <x v="4"/>
          </reference>
          <reference field="12" count="1" selected="0">
            <x v="17"/>
          </reference>
          <reference field="13" count="1">
            <x v="20"/>
          </reference>
        </references>
      </pivotArea>
    </format>
    <format dxfId="1009">
      <pivotArea dataOnly="0" labelOnly="1" outline="0" fieldPosition="0">
        <references count="8">
          <reference field="0" count="1" selected="0">
            <x v="23"/>
          </reference>
          <reference field="4" count="1" selected="0">
            <x v="2"/>
          </reference>
          <reference field="5" count="1" selected="0">
            <x v="2"/>
          </reference>
          <reference field="8" count="1" selected="0">
            <x v="3"/>
          </reference>
          <reference field="10" count="1" selected="0">
            <x v="0"/>
          </reference>
          <reference field="11" count="1" selected="0">
            <x v="4"/>
          </reference>
          <reference field="12" count="1" selected="0">
            <x v="19"/>
          </reference>
          <reference field="13" count="1">
            <x v="22"/>
          </reference>
        </references>
      </pivotArea>
    </format>
    <format dxfId="1008">
      <pivotArea dataOnly="0" labelOnly="1" outline="0" fieldPosition="0">
        <references count="8">
          <reference field="0" count="1" selected="0">
            <x v="24"/>
          </reference>
          <reference field="4" count="1" selected="0">
            <x v="2"/>
          </reference>
          <reference field="5" count="1" selected="0">
            <x v="2"/>
          </reference>
          <reference field="8" count="1" selected="0">
            <x v="7"/>
          </reference>
          <reference field="10" count="1" selected="0">
            <x v="0"/>
          </reference>
          <reference field="11" count="1" selected="0">
            <x v="0"/>
          </reference>
          <reference field="12" count="1" selected="0">
            <x v="0"/>
          </reference>
          <reference field="13" count="1">
            <x v="10"/>
          </reference>
        </references>
      </pivotArea>
    </format>
    <format dxfId="1007">
      <pivotArea dataOnly="0" labelOnly="1" outline="0" fieldPosition="0">
        <references count="8">
          <reference field="0" count="1" selected="0">
            <x v="24"/>
          </reference>
          <reference field="4" count="1" selected="0">
            <x v="2"/>
          </reference>
          <reference field="5" count="1" selected="0">
            <x v="2"/>
          </reference>
          <reference field="8" count="1" selected="0">
            <x v="7"/>
          </reference>
          <reference field="10" count="1" selected="0">
            <x v="0"/>
          </reference>
          <reference field="11" count="1" selected="0">
            <x v="0"/>
          </reference>
          <reference field="12" count="1" selected="0">
            <x v="1"/>
          </reference>
          <reference field="13" count="1">
            <x v="25"/>
          </reference>
        </references>
      </pivotArea>
    </format>
    <format dxfId="1006">
      <pivotArea dataOnly="0" labelOnly="1" outline="0" fieldPosition="0">
        <references count="8">
          <reference field="0" count="1" selected="0">
            <x v="25"/>
          </reference>
          <reference field="4" count="1" selected="0">
            <x v="2"/>
          </reference>
          <reference field="5" count="1" selected="0">
            <x v="2"/>
          </reference>
          <reference field="8" count="1" selected="0">
            <x v="7"/>
          </reference>
          <reference field="10" count="1" selected="0">
            <x v="0"/>
          </reference>
          <reference field="11" count="1" selected="0">
            <x v="0"/>
          </reference>
          <reference field="12" count="1" selected="0">
            <x v="15"/>
          </reference>
          <reference field="13" count="1">
            <x v="34"/>
          </reference>
        </references>
      </pivotArea>
    </format>
    <format dxfId="1005">
      <pivotArea dataOnly="0" labelOnly="1" outline="0" fieldPosition="0">
        <references count="8">
          <reference field="0" count="1" selected="0">
            <x v="25"/>
          </reference>
          <reference field="4" count="1" selected="0">
            <x v="2"/>
          </reference>
          <reference field="5" count="1" selected="0">
            <x v="2"/>
          </reference>
          <reference field="8" count="1" selected="0">
            <x v="7"/>
          </reference>
          <reference field="10" count="1" selected="0">
            <x v="0"/>
          </reference>
          <reference field="11" count="1" selected="0">
            <x v="1"/>
          </reference>
          <reference field="12" count="1" selected="0">
            <x v="18"/>
          </reference>
          <reference field="13" count="1">
            <x v="24"/>
          </reference>
        </references>
      </pivotArea>
    </format>
    <format dxfId="1004">
      <pivotArea dataOnly="0" labelOnly="1" outline="0" fieldPosition="0">
        <references count="8">
          <reference field="0" count="1" selected="0">
            <x v="26"/>
          </reference>
          <reference field="4" count="1" selected="0">
            <x v="2"/>
          </reference>
          <reference field="5" count="1" selected="0">
            <x v="2"/>
          </reference>
          <reference field="8" count="1" selected="0">
            <x v="5"/>
          </reference>
          <reference field="10" count="1" selected="0">
            <x v="2"/>
          </reference>
          <reference field="11" count="1" selected="0">
            <x v="7"/>
          </reference>
          <reference field="12" count="1" selected="0">
            <x v="34"/>
          </reference>
          <reference field="13" count="1">
            <x v="18"/>
          </reference>
        </references>
      </pivotArea>
    </format>
    <format dxfId="1003">
      <pivotArea dataOnly="0" labelOnly="1" outline="0" fieldPosition="0">
        <references count="8">
          <reference field="0" count="1" selected="0">
            <x v="27"/>
          </reference>
          <reference field="4" count="1" selected="0">
            <x v="2"/>
          </reference>
          <reference field="5" count="1" selected="0">
            <x v="3"/>
          </reference>
          <reference field="8" count="1" selected="0">
            <x v="7"/>
          </reference>
          <reference field="10" count="1" selected="0">
            <x v="0"/>
          </reference>
          <reference field="11" count="1" selected="0">
            <x v="6"/>
          </reference>
          <reference field="12" count="1" selected="0">
            <x v="6"/>
          </reference>
          <reference field="13" count="1">
            <x v="33"/>
          </reference>
        </references>
      </pivotArea>
    </format>
    <format dxfId="1002">
      <pivotArea dataOnly="0" labelOnly="1" outline="0" fieldPosition="0">
        <references count="8">
          <reference field="0" count="1" selected="0">
            <x v="28"/>
          </reference>
          <reference field="4" count="1" selected="0">
            <x v="2"/>
          </reference>
          <reference field="5" count="1" selected="0">
            <x v="3"/>
          </reference>
          <reference field="8" count="1" selected="0">
            <x v="7"/>
          </reference>
          <reference field="10" count="1" selected="0">
            <x v="0"/>
          </reference>
          <reference field="11" count="1" selected="0">
            <x v="6"/>
          </reference>
          <reference field="12" count="1" selected="0">
            <x v="7"/>
          </reference>
          <reference field="13" count="1">
            <x v="15"/>
          </reference>
        </references>
      </pivotArea>
    </format>
    <format dxfId="1001">
      <pivotArea dataOnly="0" labelOnly="1" outline="0" fieldPosition="0">
        <references count="8">
          <reference field="0" count="1" selected="0">
            <x v="29"/>
          </reference>
          <reference field="4" count="1" selected="0">
            <x v="2"/>
          </reference>
          <reference field="5" count="1" selected="0">
            <x v="3"/>
          </reference>
          <reference field="8" count="1" selected="0">
            <x v="3"/>
          </reference>
          <reference field="10" count="1" selected="0">
            <x v="0"/>
          </reference>
          <reference field="11" count="1" selected="0">
            <x v="4"/>
          </reference>
          <reference field="12" count="1" selected="0">
            <x v="11"/>
          </reference>
          <reference field="13" count="1">
            <x v="21"/>
          </reference>
        </references>
      </pivotArea>
    </format>
    <format dxfId="1000">
      <pivotArea dataOnly="0" labelOnly="1" outline="0" fieldPosition="0">
        <references count="8">
          <reference field="0" count="1" selected="0">
            <x v="30"/>
          </reference>
          <reference field="4" count="1" selected="0">
            <x v="2"/>
          </reference>
          <reference field="5" count="1" selected="0">
            <x v="3"/>
          </reference>
          <reference field="8" count="1" selected="0">
            <x v="4"/>
          </reference>
          <reference field="10" count="1" selected="0">
            <x v="1"/>
          </reference>
          <reference field="11" count="1" selected="0">
            <x v="0"/>
          </reference>
          <reference field="12" count="1" selected="0">
            <x v="5"/>
          </reference>
          <reference field="13" count="1">
            <x v="7"/>
          </reference>
        </references>
      </pivotArea>
    </format>
    <format dxfId="999">
      <pivotArea dataOnly="0" labelOnly="1" outline="0" fieldPosition="0">
        <references count="8">
          <reference field="0" count="1" selected="0">
            <x v="30"/>
          </reference>
          <reference field="4" count="1" selected="0">
            <x v="2"/>
          </reference>
          <reference field="5" count="1" selected="0">
            <x v="3"/>
          </reference>
          <reference field="8" count="1" selected="0">
            <x v="4"/>
          </reference>
          <reference field="10" count="1" selected="0">
            <x v="1"/>
          </reference>
          <reference field="11" count="1" selected="0">
            <x v="0"/>
          </reference>
          <reference field="12" count="1" selected="0">
            <x v="8"/>
          </reference>
          <reference field="13" count="1">
            <x v="8"/>
          </reference>
        </references>
      </pivotArea>
    </format>
    <format dxfId="998">
      <pivotArea dataOnly="0" labelOnly="1" outline="0" fieldPosition="0">
        <references count="8">
          <reference field="0" count="1" selected="0">
            <x v="31"/>
          </reference>
          <reference field="4" count="1" selected="0">
            <x v="2"/>
          </reference>
          <reference field="5" count="1" selected="0">
            <x v="3"/>
          </reference>
          <reference field="8" count="1" selected="0">
            <x v="0"/>
          </reference>
          <reference field="10" count="1" selected="0">
            <x v="0"/>
          </reference>
          <reference field="11" count="1" selected="0">
            <x v="6"/>
          </reference>
          <reference field="12" count="1" selected="0">
            <x v="9"/>
          </reference>
          <reference field="13" count="1">
            <x v="26"/>
          </reference>
        </references>
      </pivotArea>
    </format>
    <format dxfId="997">
      <pivotArea dataOnly="0" labelOnly="1" outline="0" fieldPosition="0">
        <references count="8">
          <reference field="0" count="1" selected="0">
            <x v="32"/>
          </reference>
          <reference field="4" count="1" selected="0">
            <x v="2"/>
          </reference>
          <reference field="5" count="1" selected="0">
            <x v="3"/>
          </reference>
          <reference field="8" count="1" selected="0">
            <x v="0"/>
          </reference>
          <reference field="10" count="1" selected="0">
            <x v="0"/>
          </reference>
          <reference field="11" count="1" selected="0">
            <x v="6"/>
          </reference>
          <reference field="12" count="1" selected="0">
            <x v="10"/>
          </reference>
          <reference field="13" count="1">
            <x v="27"/>
          </reference>
        </references>
      </pivotArea>
    </format>
    <format dxfId="996">
      <pivotArea dataOnly="0" labelOnly="1" outline="0" fieldPosition="0">
        <references count="8">
          <reference field="0" count="1" selected="0">
            <x v="35"/>
          </reference>
          <reference field="4" count="1" selected="0">
            <x v="1"/>
          </reference>
          <reference field="5" count="1" selected="0">
            <x v="4"/>
          </reference>
          <reference field="8" count="1" selected="0">
            <x v="3"/>
          </reference>
          <reference field="10" count="1" selected="0">
            <x v="1"/>
          </reference>
          <reference field="11" count="1" selected="0">
            <x v="4"/>
          </reference>
          <reference field="12" count="1" selected="0">
            <x v="4"/>
          </reference>
          <reference field="13" count="1">
            <x v="31"/>
          </reference>
        </references>
      </pivotArea>
    </format>
    <format dxfId="995">
      <pivotArea dataOnly="0" labelOnly="1" outline="0" fieldPosition="0">
        <references count="8">
          <reference field="0" count="1" selected="0">
            <x v="36"/>
          </reference>
          <reference field="4" count="1" selected="0">
            <x v="1"/>
          </reference>
          <reference field="5" count="1" selected="0">
            <x v="4"/>
          </reference>
          <reference field="8" count="1" selected="0">
            <x v="3"/>
          </reference>
          <reference field="10" count="1" selected="0">
            <x v="1"/>
          </reference>
          <reference field="11" count="1" selected="0">
            <x v="4"/>
          </reference>
          <reference field="12" count="1" selected="0">
            <x v="3"/>
          </reference>
          <reference field="13" count="1">
            <x v="16"/>
          </reference>
        </references>
      </pivotArea>
    </format>
    <format dxfId="994">
      <pivotArea dataOnly="0" labelOnly="1" outline="0" fieldPosition="0">
        <references count="8">
          <reference field="0" count="1" selected="0">
            <x v="37"/>
          </reference>
          <reference field="4" count="1" selected="0">
            <x v="1"/>
          </reference>
          <reference field="5" count="1" selected="0">
            <x v="4"/>
          </reference>
          <reference field="8" count="1" selected="0">
            <x v="5"/>
          </reference>
          <reference field="10" count="1" selected="0">
            <x v="2"/>
          </reference>
          <reference field="11" count="1" selected="0">
            <x v="7"/>
          </reference>
          <reference field="12" count="1" selected="0">
            <x v="34"/>
          </reference>
          <reference field="13" count="1">
            <x v="18"/>
          </reference>
        </references>
      </pivotArea>
    </format>
    <format dxfId="993">
      <pivotArea dataOnly="0" labelOnly="1" outline="0" fieldPosition="0">
        <references count="8">
          <reference field="0" count="1" selected="0">
            <x v="38"/>
          </reference>
          <reference field="4" count="1" selected="0">
            <x v="1"/>
          </reference>
          <reference field="5" count="1" selected="0">
            <x v="4"/>
          </reference>
          <reference field="8" count="1" selected="0">
            <x v="4"/>
          </reference>
          <reference field="10" count="1" selected="0">
            <x v="1"/>
          </reference>
          <reference field="11" count="1" selected="0">
            <x v="0"/>
          </reference>
          <reference field="12" count="1" selected="0">
            <x v="0"/>
          </reference>
          <reference field="13" count="1">
            <x v="10"/>
          </reference>
        </references>
      </pivotArea>
    </format>
    <format dxfId="992">
      <pivotArea dataOnly="0" labelOnly="1" outline="0" fieldPosition="0">
        <references count="8">
          <reference field="0" count="1" selected="0">
            <x v="38"/>
          </reference>
          <reference field="4" count="1" selected="0">
            <x v="1"/>
          </reference>
          <reference field="5" count="1" selected="0">
            <x v="4"/>
          </reference>
          <reference field="8" count="1" selected="0">
            <x v="4"/>
          </reference>
          <reference field="10" count="1" selected="0">
            <x v="1"/>
          </reference>
          <reference field="11" count="1" selected="0">
            <x v="0"/>
          </reference>
          <reference field="12" count="1" selected="0">
            <x v="1"/>
          </reference>
          <reference field="13" count="1">
            <x v="25"/>
          </reference>
        </references>
      </pivotArea>
    </format>
    <format dxfId="991">
      <pivotArea dataOnly="0" labelOnly="1" outline="0" fieldPosition="0">
        <references count="8">
          <reference field="0" count="1" selected="0">
            <x v="38"/>
          </reference>
          <reference field="4" count="1" selected="0">
            <x v="1"/>
          </reference>
          <reference field="5" count="1" selected="0">
            <x v="4"/>
          </reference>
          <reference field="8" count="1" selected="0">
            <x v="4"/>
          </reference>
          <reference field="10" count="1" selected="0">
            <x v="1"/>
          </reference>
          <reference field="11" count="1" selected="0">
            <x v="0"/>
          </reference>
          <reference field="12" count="1" selected="0">
            <x v="2"/>
          </reference>
          <reference field="13" count="1">
            <x v="3"/>
          </reference>
        </references>
      </pivotArea>
    </format>
    <format dxfId="990">
      <pivotArea dataOnly="0" labelOnly="1" outline="0" fieldPosition="0">
        <references count="8">
          <reference field="0" count="1" selected="0">
            <x v="39"/>
          </reference>
          <reference field="4" count="1" selected="0">
            <x v="1"/>
          </reference>
          <reference field="5" count="1" selected="0">
            <x v="5"/>
          </reference>
          <reference field="8" count="1" selected="0">
            <x v="6"/>
          </reference>
          <reference field="10" count="1" selected="0">
            <x v="0"/>
          </reference>
          <reference field="11" count="1" selected="0">
            <x v="1"/>
          </reference>
          <reference field="12" count="1" selected="0">
            <x v="22"/>
          </reference>
          <reference field="13" count="1">
            <x v="1"/>
          </reference>
        </references>
      </pivotArea>
    </format>
    <format dxfId="989">
      <pivotArea dataOnly="0" labelOnly="1" outline="0" fieldPosition="0">
        <references count="8">
          <reference field="0" count="1" selected="0">
            <x v="40"/>
          </reference>
          <reference field="4" count="1" selected="0">
            <x v="1"/>
          </reference>
          <reference field="5" count="1" selected="0">
            <x v="5"/>
          </reference>
          <reference field="8" count="1" selected="0">
            <x v="3"/>
          </reference>
          <reference field="10" count="1" selected="0">
            <x v="0"/>
          </reference>
          <reference field="11" count="1" selected="0">
            <x v="6"/>
          </reference>
          <reference field="12" count="1" selected="0">
            <x v="12"/>
          </reference>
          <reference field="13" count="1">
            <x v="28"/>
          </reference>
        </references>
      </pivotArea>
    </format>
    <format dxfId="988">
      <pivotArea dataOnly="0" labelOnly="1" outline="0" fieldPosition="0">
        <references count="8">
          <reference field="0" count="1" selected="0">
            <x v="43"/>
          </reference>
          <reference field="4" count="1" selected="0">
            <x v="1"/>
          </reference>
          <reference field="5" count="1" selected="0">
            <x v="5"/>
          </reference>
          <reference field="8" count="1" selected="0">
            <x v="3"/>
          </reference>
          <reference field="10" count="1" selected="0">
            <x v="0"/>
          </reference>
          <reference field="11" count="1" selected="0">
            <x v="4"/>
          </reference>
          <reference field="12" count="1" selected="0">
            <x v="21"/>
          </reference>
          <reference field="13" count="1">
            <x v="17"/>
          </reference>
        </references>
      </pivotArea>
    </format>
    <format dxfId="987">
      <pivotArea dataOnly="0" labelOnly="1" outline="0" fieldPosition="0">
        <references count="8">
          <reference field="0" count="1" selected="0">
            <x v="44"/>
          </reference>
          <reference field="4" count="1" selected="0">
            <x v="1"/>
          </reference>
          <reference field="5" count="1" selected="0">
            <x v="5"/>
          </reference>
          <reference field="8" count="1" selected="0">
            <x v="3"/>
          </reference>
          <reference field="10" count="1" selected="0">
            <x v="0"/>
          </reference>
          <reference field="11" count="1" selected="0">
            <x v="1"/>
          </reference>
          <reference field="12" count="1" selected="0">
            <x v="13"/>
          </reference>
          <reference field="13" count="1">
            <x v="4"/>
          </reference>
        </references>
      </pivotArea>
    </format>
    <format dxfId="986">
      <pivotArea dataOnly="0" labelOnly="1" outline="0" fieldPosition="0">
        <references count="8">
          <reference field="0" count="1" selected="0">
            <x v="44"/>
          </reference>
          <reference field="4" count="1" selected="0">
            <x v="1"/>
          </reference>
          <reference field="5" count="1" selected="0">
            <x v="5"/>
          </reference>
          <reference field="8" count="1" selected="0">
            <x v="3"/>
          </reference>
          <reference field="10" count="1" selected="0">
            <x v="0"/>
          </reference>
          <reference field="11" count="1" selected="0">
            <x v="1"/>
          </reference>
          <reference field="12" count="1" selected="0">
            <x v="16"/>
          </reference>
          <reference field="13" count="1">
            <x v="5"/>
          </reference>
        </references>
      </pivotArea>
    </format>
    <format dxfId="985">
      <pivotArea dataOnly="0" labelOnly="1" outline="0" fieldPosition="0">
        <references count="8">
          <reference field="0" count="1" selected="0">
            <x v="49"/>
          </reference>
          <reference field="4" count="1" selected="0">
            <x v="1"/>
          </reference>
          <reference field="5" count="1" selected="0">
            <x v="5"/>
          </reference>
          <reference field="8" count="1" selected="0">
            <x v="7"/>
          </reference>
          <reference field="10" count="1" selected="0">
            <x v="0"/>
          </reference>
          <reference field="11" count="1" selected="0">
            <x v="0"/>
          </reference>
          <reference field="12" count="1" selected="0">
            <x v="15"/>
          </reference>
          <reference field="13" count="1">
            <x v="34"/>
          </reference>
        </references>
      </pivotArea>
    </format>
    <format dxfId="984">
      <pivotArea dataOnly="0" labelOnly="1" outline="0" fieldPosition="0">
        <references count="8">
          <reference field="0" count="1" selected="0">
            <x v="50"/>
          </reference>
          <reference field="4" count="1" selected="0">
            <x v="1"/>
          </reference>
          <reference field="5" count="1" selected="0">
            <x v="5"/>
          </reference>
          <reference field="8" count="1" selected="0">
            <x v="6"/>
          </reference>
          <reference field="10" count="1" selected="0">
            <x v="0"/>
          </reference>
          <reference field="11" count="1" selected="0">
            <x v="4"/>
          </reference>
          <reference field="12" count="1" selected="0">
            <x v="20"/>
          </reference>
          <reference field="13" count="1">
            <x v="35"/>
          </reference>
        </references>
      </pivotArea>
    </format>
    <format dxfId="983">
      <pivotArea dataOnly="0" labelOnly="1" outline="0" fieldPosition="0">
        <references count="8">
          <reference field="0" count="1" selected="0">
            <x v="52"/>
          </reference>
          <reference field="4" count="1" selected="0">
            <x v="1"/>
          </reference>
          <reference field="5" count="1" selected="0">
            <x v="6"/>
          </reference>
          <reference field="8" count="1" selected="0">
            <x v="3"/>
          </reference>
          <reference field="10" count="1" selected="0">
            <x v="0"/>
          </reference>
          <reference field="11" count="1" selected="0">
            <x v="4"/>
          </reference>
          <reference field="12" count="1" selected="0">
            <x v="21"/>
          </reference>
          <reference field="13" count="1">
            <x v="17"/>
          </reference>
        </references>
      </pivotArea>
    </format>
    <format dxfId="982">
      <pivotArea dataOnly="0" labelOnly="1" outline="0" fieldPosition="0">
        <references count="8">
          <reference field="0" count="1" selected="0">
            <x v="53"/>
          </reference>
          <reference field="4" count="1" selected="0">
            <x v="1"/>
          </reference>
          <reference field="5" count="1" selected="0">
            <x v="6"/>
          </reference>
          <reference field="8" count="1" selected="0">
            <x v="6"/>
          </reference>
          <reference field="10" count="1" selected="0">
            <x v="0"/>
          </reference>
          <reference field="11" count="1" selected="0">
            <x v="0"/>
          </reference>
          <reference field="12" count="1" selected="0">
            <x v="15"/>
          </reference>
          <reference field="13" count="1">
            <x v="34"/>
          </reference>
        </references>
      </pivotArea>
    </format>
    <format dxfId="981">
      <pivotArea dataOnly="0" labelOnly="1" outline="0" fieldPosition="0">
        <references count="8">
          <reference field="0" count="1" selected="0">
            <x v="58"/>
          </reference>
          <reference field="4" count="1" selected="0">
            <x v="1"/>
          </reference>
          <reference field="5" count="1" selected="0">
            <x v="6"/>
          </reference>
          <reference field="8" count="1" selected="0">
            <x v="3"/>
          </reference>
          <reference field="10" count="1" selected="0">
            <x v="0"/>
          </reference>
          <reference field="11" count="1" selected="0">
            <x v="4"/>
          </reference>
          <reference field="12" count="1" selected="0">
            <x v="24"/>
          </reference>
          <reference field="13" count="1">
            <x v="9"/>
          </reference>
        </references>
      </pivotArea>
    </format>
    <format dxfId="980">
      <pivotArea dataOnly="0" labelOnly="1" outline="0" fieldPosition="0">
        <references count="8">
          <reference field="0" count="1" selected="0">
            <x v="64"/>
          </reference>
          <reference field="4" count="1" selected="0">
            <x v="1"/>
          </reference>
          <reference field="5" count="1" selected="0">
            <x v="6"/>
          </reference>
          <reference field="8" count="1" selected="0">
            <x v="6"/>
          </reference>
          <reference field="10" count="1" selected="0">
            <x v="0"/>
          </reference>
          <reference field="11" count="1" selected="0">
            <x v="5"/>
          </reference>
          <reference field="12" count="1" selected="0">
            <x v="35"/>
          </reference>
          <reference field="13" count="1">
            <x v="36"/>
          </reference>
        </references>
      </pivotArea>
    </format>
    <format dxfId="979">
      <pivotArea dataOnly="0" labelOnly="1" outline="0" fieldPosition="0">
        <references count="8">
          <reference field="0" count="1" selected="0">
            <x v="65"/>
          </reference>
          <reference field="4" count="1" selected="0">
            <x v="1"/>
          </reference>
          <reference field="5" count="1" selected="0">
            <x v="6"/>
          </reference>
          <reference field="8" count="1" selected="0">
            <x v="7"/>
          </reference>
          <reference field="10" count="1" selected="0">
            <x v="0"/>
          </reference>
          <reference field="11" count="1" selected="0">
            <x v="0"/>
          </reference>
          <reference field="12" count="1" selected="0">
            <x v="0"/>
          </reference>
          <reference field="13" count="1">
            <x v="10"/>
          </reference>
        </references>
      </pivotArea>
    </format>
    <format dxfId="978">
      <pivotArea dataOnly="0" labelOnly="1" outline="0" fieldPosition="0">
        <references count="8">
          <reference field="0" count="1" selected="0">
            <x v="65"/>
          </reference>
          <reference field="4" count="1" selected="0">
            <x v="1"/>
          </reference>
          <reference field="5" count="1" selected="0">
            <x v="6"/>
          </reference>
          <reference field="8" count="1" selected="0">
            <x v="7"/>
          </reference>
          <reference field="10" count="1" selected="0">
            <x v="0"/>
          </reference>
          <reference field="11" count="1" selected="0">
            <x v="0"/>
          </reference>
          <reference field="12" count="1" selected="0">
            <x v="1"/>
          </reference>
          <reference field="13" count="1">
            <x v="25"/>
          </reference>
        </references>
      </pivotArea>
    </format>
    <format dxfId="977">
      <pivotArea dataOnly="0" labelOnly="1" outline="0" fieldPosition="0">
        <references count="8">
          <reference field="0" count="1" selected="0">
            <x v="67"/>
          </reference>
          <reference field="4" count="1" selected="0">
            <x v="0"/>
          </reference>
          <reference field="5" count="1" selected="0">
            <x v="7"/>
          </reference>
          <reference field="8" count="1" selected="0">
            <x v="2"/>
          </reference>
          <reference field="10" count="1" selected="0">
            <x v="0"/>
          </reference>
          <reference field="11" count="1" selected="0">
            <x v="0"/>
          </reference>
          <reference field="12" count="1" selected="0">
            <x v="25"/>
          </reference>
          <reference field="13" count="1">
            <x v="12"/>
          </reference>
        </references>
      </pivotArea>
    </format>
    <format dxfId="976">
      <pivotArea dataOnly="0" labelOnly="1" outline="0" fieldPosition="0">
        <references count="8">
          <reference field="0" count="1" selected="0">
            <x v="68"/>
          </reference>
          <reference field="4" count="1" selected="0">
            <x v="0"/>
          </reference>
          <reference field="5" count="1" selected="0">
            <x v="7"/>
          </reference>
          <reference field="8" count="1" selected="0">
            <x v="2"/>
          </reference>
          <reference field="10" count="1" selected="0">
            <x v="0"/>
          </reference>
          <reference field="11" count="1" selected="0">
            <x v="1"/>
          </reference>
          <reference field="12" count="1" selected="0">
            <x v="26"/>
          </reference>
          <reference field="13" count="1">
            <x v="13"/>
          </reference>
        </references>
      </pivotArea>
    </format>
    <format dxfId="975">
      <pivotArea dataOnly="0" labelOnly="1" outline="0" fieldPosition="0">
        <references count="8">
          <reference field="0" count="1" selected="0">
            <x v="69"/>
          </reference>
          <reference field="4" count="1" selected="0">
            <x v="0"/>
          </reference>
          <reference field="5" count="1" selected="0">
            <x v="7"/>
          </reference>
          <reference field="8" count="1" selected="0">
            <x v="2"/>
          </reference>
          <reference field="10" count="1" selected="0">
            <x v="0"/>
          </reference>
          <reference field="11" count="1" selected="0">
            <x v="0"/>
          </reference>
          <reference field="12" count="1" selected="0">
            <x v="25"/>
          </reference>
          <reference field="13" count="1">
            <x v="12"/>
          </reference>
        </references>
      </pivotArea>
    </format>
    <format dxfId="974">
      <pivotArea dataOnly="0" labelOnly="1" outline="0" fieldPosition="0">
        <references count="8">
          <reference field="0" count="1" selected="0">
            <x v="70"/>
          </reference>
          <reference field="4" count="1" selected="0">
            <x v="0"/>
          </reference>
          <reference field="5" count="1" selected="0">
            <x v="8"/>
          </reference>
          <reference field="8" count="1" selected="0">
            <x v="2"/>
          </reference>
          <reference field="10" count="1" selected="0">
            <x v="0"/>
          </reference>
          <reference field="11" count="1" selected="0">
            <x v="0"/>
          </reference>
          <reference field="12" count="1" selected="0">
            <x v="8"/>
          </reference>
          <reference field="13" count="1">
            <x v="8"/>
          </reference>
        </references>
      </pivotArea>
    </format>
    <format dxfId="973">
      <pivotArea dataOnly="0" labelOnly="1" outline="0" fieldPosition="0">
        <references count="8">
          <reference field="0" count="1" selected="0">
            <x v="71"/>
          </reference>
          <reference field="4" count="1" selected="0">
            <x v="0"/>
          </reference>
          <reference field="5" count="1" selected="0">
            <x v="8"/>
          </reference>
          <reference field="8" count="1" selected="0">
            <x v="2"/>
          </reference>
          <reference field="10" count="1" selected="0">
            <x v="0"/>
          </reference>
          <reference field="11" count="1" selected="0">
            <x v="5"/>
          </reference>
          <reference field="12" count="1" selected="0">
            <x v="20"/>
          </reference>
          <reference field="13" count="1">
            <x v="35"/>
          </reference>
        </references>
      </pivotArea>
    </format>
    <format dxfId="972">
      <pivotArea dataOnly="0" labelOnly="1" outline="0" fieldPosition="0">
        <references count="8">
          <reference field="0" count="1" selected="0">
            <x v="72"/>
          </reference>
          <reference field="4" count="1" selected="0">
            <x v="0"/>
          </reference>
          <reference field="5" count="1" selected="0">
            <x v="8"/>
          </reference>
          <reference field="8" count="1" selected="0">
            <x v="2"/>
          </reference>
          <reference field="10" count="1" selected="0">
            <x v="0"/>
          </reference>
          <reference field="11" count="1" selected="0">
            <x v="0"/>
          </reference>
          <reference field="12" count="1" selected="0">
            <x v="27"/>
          </reference>
          <reference field="13" count="1">
            <x v="6"/>
          </reference>
        </references>
      </pivotArea>
    </format>
    <format dxfId="971">
      <pivotArea dataOnly="0" labelOnly="1" outline="0" fieldPosition="0">
        <references count="8">
          <reference field="0" count="1" selected="0">
            <x v="0"/>
          </reference>
          <reference field="4" count="1" selected="0">
            <x v="0"/>
          </reference>
          <reference field="5" count="1" selected="0">
            <x v="9"/>
          </reference>
          <reference field="8" count="1" selected="0">
            <x v="2"/>
          </reference>
          <reference field="10" count="1" selected="0">
            <x v="0"/>
          </reference>
          <reference field="11" count="1" selected="0">
            <x v="0"/>
          </reference>
          <reference field="12" count="1" selected="0">
            <x v="28"/>
          </reference>
          <reference field="13" count="1">
            <x v="32"/>
          </reference>
        </references>
      </pivotArea>
    </format>
    <format dxfId="970">
      <pivotArea dataOnly="0" labelOnly="1" outline="0" fieldPosition="0">
        <references count="8">
          <reference field="0" count="1" selected="0">
            <x v="1"/>
          </reference>
          <reference field="4" count="1" selected="0">
            <x v="0"/>
          </reference>
          <reference field="5" count="1" selected="0">
            <x v="9"/>
          </reference>
          <reference field="8" count="1" selected="0">
            <x v="2"/>
          </reference>
          <reference field="10" count="1" selected="0">
            <x v="0"/>
          </reference>
          <reference field="11" count="1" selected="0">
            <x v="5"/>
          </reference>
          <reference field="12" count="1" selected="0">
            <x v="31"/>
          </reference>
          <reference field="13" count="1">
            <x v="14"/>
          </reference>
        </references>
      </pivotArea>
    </format>
    <format dxfId="969">
      <pivotArea dataOnly="0" labelOnly="1" outline="0" fieldPosition="0">
        <references count="8">
          <reference field="0" count="1" selected="0">
            <x v="2"/>
          </reference>
          <reference field="4" count="1" selected="0">
            <x v="0"/>
          </reference>
          <reference field="5" count="1" selected="0">
            <x v="9"/>
          </reference>
          <reference field="8" count="1" selected="0">
            <x v="2"/>
          </reference>
          <reference field="10" count="1" selected="0">
            <x v="0"/>
          </reference>
          <reference field="11" count="1" selected="0">
            <x v="0"/>
          </reference>
          <reference field="12" count="1" selected="0">
            <x v="28"/>
          </reference>
          <reference field="13" count="1">
            <x v="32"/>
          </reference>
        </references>
      </pivotArea>
    </format>
    <format dxfId="968">
      <pivotArea dataOnly="0" labelOnly="1" outline="0" fieldPosition="0">
        <references count="8">
          <reference field="0" count="1" selected="0">
            <x v="3"/>
          </reference>
          <reference field="4" count="1" selected="0">
            <x v="0"/>
          </reference>
          <reference field="5" count="1" selected="0">
            <x v="10"/>
          </reference>
          <reference field="8" count="1" selected="0">
            <x v="2"/>
          </reference>
          <reference field="10" count="1" selected="0">
            <x v="0"/>
          </reference>
          <reference field="11" count="1" selected="0">
            <x v="3"/>
          </reference>
          <reference field="12" count="1" selected="0">
            <x v="29"/>
          </reference>
          <reference field="13" count="1">
            <x v="30"/>
          </reference>
        </references>
      </pivotArea>
    </format>
    <format dxfId="967">
      <pivotArea dataOnly="0" labelOnly="1" outline="0" fieldPosition="0">
        <references count="8">
          <reference field="0" count="1" selected="0">
            <x v="4"/>
          </reference>
          <reference field="4" count="1" selected="0">
            <x v="0"/>
          </reference>
          <reference field="5" count="1" selected="0">
            <x v="10"/>
          </reference>
          <reference field="8" count="1" selected="0">
            <x v="2"/>
          </reference>
          <reference field="10" count="1" selected="0">
            <x v="0"/>
          </reference>
          <reference field="11" count="1" selected="0">
            <x v="5"/>
          </reference>
          <reference field="12" count="1" selected="0">
            <x v="32"/>
          </reference>
          <reference field="13" count="1">
            <x v="23"/>
          </reference>
        </references>
      </pivotArea>
    </format>
    <format dxfId="966">
      <pivotArea dataOnly="0" labelOnly="1" outline="0" fieldPosition="0">
        <references count="8">
          <reference field="0" count="1" selected="0">
            <x v="5"/>
          </reference>
          <reference field="4" count="1" selected="0">
            <x v="0"/>
          </reference>
          <reference field="5" count="1" selected="0">
            <x v="10"/>
          </reference>
          <reference field="8" count="1" selected="0">
            <x v="2"/>
          </reference>
          <reference field="10" count="1" selected="0">
            <x v="0"/>
          </reference>
          <reference field="11" count="1" selected="0">
            <x v="3"/>
          </reference>
          <reference field="12" count="1" selected="0">
            <x v="29"/>
          </reference>
          <reference field="13" count="1">
            <x v="30"/>
          </reference>
        </references>
      </pivotArea>
    </format>
    <format dxfId="965">
      <pivotArea dataOnly="0" labelOnly="1" outline="0" fieldPosition="0">
        <references count="8">
          <reference field="0" count="1" selected="0">
            <x v="6"/>
          </reference>
          <reference field="4" count="1" selected="0">
            <x v="0"/>
          </reference>
          <reference field="5" count="1" selected="0">
            <x v="11"/>
          </reference>
          <reference field="8" count="1" selected="0">
            <x v="2"/>
          </reference>
          <reference field="10" count="1" selected="0">
            <x v="0"/>
          </reference>
          <reference field="11" count="1" selected="0">
            <x v="3"/>
          </reference>
          <reference field="12" count="1" selected="0">
            <x v="30"/>
          </reference>
          <reference field="13" count="1">
            <x v="29"/>
          </reference>
        </references>
      </pivotArea>
    </format>
    <format dxfId="964">
      <pivotArea dataOnly="0" labelOnly="1" outline="0" fieldPosition="0">
        <references count="8">
          <reference field="0" count="1" selected="0">
            <x v="7"/>
          </reference>
          <reference field="4" count="1" selected="0">
            <x v="0"/>
          </reference>
          <reference field="5" count="1" selected="0">
            <x v="11"/>
          </reference>
          <reference field="8" count="1" selected="0">
            <x v="2"/>
          </reference>
          <reference field="10" count="1" selected="0">
            <x v="0"/>
          </reference>
          <reference field="11" count="1" selected="0">
            <x v="5"/>
          </reference>
          <reference field="12" count="1" selected="0">
            <x v="32"/>
          </reference>
          <reference field="13" count="1">
            <x v="23"/>
          </reference>
        </references>
      </pivotArea>
    </format>
    <format dxfId="963">
      <pivotArea dataOnly="0" labelOnly="1" outline="0" fieldPosition="0">
        <references count="8">
          <reference field="0" count="1" selected="0">
            <x v="8"/>
          </reference>
          <reference field="4" count="1" selected="0">
            <x v="0"/>
          </reference>
          <reference field="5" count="1" selected="0">
            <x v="11"/>
          </reference>
          <reference field="8" count="1" selected="0">
            <x v="2"/>
          </reference>
          <reference field="10" count="1" selected="0">
            <x v="0"/>
          </reference>
          <reference field="11" count="1" selected="0">
            <x v="3"/>
          </reference>
          <reference field="12" count="1" selected="0">
            <x v="30"/>
          </reference>
          <reference field="13" count="1">
            <x v="29"/>
          </reference>
        </references>
      </pivotArea>
    </format>
    <format dxfId="962">
      <pivotArea dataOnly="0" labelOnly="1" outline="0" fieldPosition="0">
        <references count="1">
          <reference field="0" count="0"/>
        </references>
      </pivotArea>
    </format>
    <format dxfId="961">
      <pivotArea dataOnly="0" labelOnly="1" outline="0" fieldPosition="0">
        <references count="1">
          <reference field="8" count="0"/>
        </references>
      </pivotArea>
    </format>
    <format dxfId="960">
      <pivotArea dataOnly="0" labelOnly="1" outline="0" fieldPosition="0">
        <references count="1">
          <reference field="5" count="0"/>
        </references>
      </pivotArea>
    </format>
    <format dxfId="959">
      <pivotArea dataOnly="0" labelOnly="1" outline="0" fieldPosition="0">
        <references count="1">
          <reference field="5" count="11" defaultSubtotal="1">
            <x v="0"/>
            <x v="1"/>
            <x v="2"/>
            <x v="3"/>
            <x v="4"/>
            <x v="5"/>
            <x v="6"/>
            <x v="7"/>
            <x v="8"/>
            <x v="9"/>
            <x v="10"/>
          </reference>
        </references>
      </pivotArea>
    </format>
    <format dxfId="958">
      <pivotArea dataOnly="0" labelOnly="1" outline="0" fieldPosition="0">
        <references count="2">
          <reference field="4" count="1">
            <x v="2"/>
          </reference>
          <reference field="5" count="1" selected="0">
            <x v="0"/>
          </reference>
        </references>
      </pivotArea>
    </format>
    <format dxfId="957">
      <pivotArea dataOnly="0" labelOnly="1" outline="0" fieldPosition="0">
        <references count="2">
          <reference field="4" count="1">
            <x v="2"/>
          </reference>
          <reference field="5" count="1" selected="0">
            <x v="1"/>
          </reference>
        </references>
      </pivotArea>
    </format>
    <format dxfId="956">
      <pivotArea dataOnly="0" labelOnly="1" outline="0" fieldPosition="0">
        <references count="2">
          <reference field="4" count="1">
            <x v="2"/>
          </reference>
          <reference field="5" count="1" selected="0">
            <x v="2"/>
          </reference>
        </references>
      </pivotArea>
    </format>
    <format dxfId="955">
      <pivotArea dataOnly="0" labelOnly="1" outline="0" fieldPosition="0">
        <references count="2">
          <reference field="4" count="1">
            <x v="2"/>
          </reference>
          <reference field="5" count="1" selected="0">
            <x v="3"/>
          </reference>
        </references>
      </pivotArea>
    </format>
    <format dxfId="954">
      <pivotArea dataOnly="0" labelOnly="1" outline="0" fieldPosition="0">
        <references count="2">
          <reference field="4" count="1">
            <x v="1"/>
          </reference>
          <reference field="5" count="1" selected="0">
            <x v="4"/>
          </reference>
        </references>
      </pivotArea>
    </format>
    <format dxfId="953">
      <pivotArea dataOnly="0" labelOnly="1" outline="0" fieldPosition="0">
        <references count="2">
          <reference field="4" count="1">
            <x v="1"/>
          </reference>
          <reference field="5" count="1" selected="0">
            <x v="5"/>
          </reference>
        </references>
      </pivotArea>
    </format>
    <format dxfId="952">
      <pivotArea dataOnly="0" labelOnly="1" outline="0" fieldPosition="0">
        <references count="2">
          <reference field="4" count="1">
            <x v="1"/>
          </reference>
          <reference field="5" count="1" selected="0">
            <x v="6"/>
          </reference>
        </references>
      </pivotArea>
    </format>
    <format dxfId="951">
      <pivotArea dataOnly="0" labelOnly="1" outline="0" fieldPosition="0">
        <references count="2">
          <reference field="4" count="1">
            <x v="0"/>
          </reference>
          <reference field="5" count="1" selected="0">
            <x v="7"/>
          </reference>
        </references>
      </pivotArea>
    </format>
    <format dxfId="950">
      <pivotArea dataOnly="0" labelOnly="1" outline="0" fieldPosition="0">
        <references count="2">
          <reference field="4" count="1">
            <x v="0"/>
          </reference>
          <reference field="5" count="1" selected="0">
            <x v="8"/>
          </reference>
        </references>
      </pivotArea>
    </format>
    <format dxfId="949">
      <pivotArea dataOnly="0" labelOnly="1" outline="0" fieldPosition="0">
        <references count="2">
          <reference field="4" count="1">
            <x v="0"/>
          </reference>
          <reference field="5" count="1" selected="0">
            <x v="9"/>
          </reference>
        </references>
      </pivotArea>
    </format>
    <format dxfId="948">
      <pivotArea dataOnly="0" labelOnly="1" outline="0" fieldPosition="0">
        <references count="2">
          <reference field="4" count="1">
            <x v="0"/>
          </reference>
          <reference field="5" count="1" selected="0">
            <x v="10"/>
          </reference>
        </references>
      </pivotArea>
    </format>
    <format dxfId="947">
      <pivotArea dataOnly="0" labelOnly="1" outline="0" fieldPosition="0">
        <references count="2">
          <reference field="4" count="1">
            <x v="0"/>
          </reference>
          <reference field="5" count="1" selected="0">
            <x v="11"/>
          </reference>
        </references>
      </pivotArea>
    </format>
    <format dxfId="946">
      <pivotArea dataOnly="0" labelOnly="1" outline="0" fieldPosition="0">
        <references count="3">
          <reference field="0" count="6">
            <x v="9"/>
            <x v="10"/>
            <x v="11"/>
            <x v="12"/>
            <x v="13"/>
            <x v="14"/>
          </reference>
          <reference field="4" count="1" selected="0">
            <x v="2"/>
          </reference>
          <reference field="5" count="1" selected="0">
            <x v="0"/>
          </reference>
        </references>
      </pivotArea>
    </format>
    <format dxfId="945">
      <pivotArea dataOnly="0" labelOnly="1" outline="0" fieldPosition="0">
        <references count="3">
          <reference field="0" count="6">
            <x v="15"/>
            <x v="16"/>
            <x v="17"/>
            <x v="18"/>
            <x v="19"/>
            <x v="20"/>
          </reference>
          <reference field="4" count="1" selected="0">
            <x v="2"/>
          </reference>
          <reference field="5" count="1" selected="0">
            <x v="1"/>
          </reference>
        </references>
      </pivotArea>
    </format>
    <format dxfId="944">
      <pivotArea dataOnly="0" labelOnly="1" outline="0" fieldPosition="0">
        <references count="3">
          <reference field="0" count="6">
            <x v="21"/>
            <x v="22"/>
            <x v="23"/>
            <x v="24"/>
            <x v="25"/>
            <x v="26"/>
          </reference>
          <reference field="4" count="1" selected="0">
            <x v="2"/>
          </reference>
          <reference field="5" count="1" selected="0">
            <x v="2"/>
          </reference>
        </references>
      </pivotArea>
    </format>
    <format dxfId="943">
      <pivotArea dataOnly="0" labelOnly="1" outline="0" fieldPosition="0">
        <references count="3">
          <reference field="0" count="6">
            <x v="27"/>
            <x v="28"/>
            <x v="29"/>
            <x v="30"/>
            <x v="31"/>
            <x v="32"/>
          </reference>
          <reference field="4" count="1" selected="0">
            <x v="2"/>
          </reference>
          <reference field="5" count="1" selected="0">
            <x v="3"/>
          </reference>
        </references>
      </pivotArea>
    </format>
    <format dxfId="942">
      <pivotArea dataOnly="0" labelOnly="1" outline="0" fieldPosition="0">
        <references count="3">
          <reference field="0" count="6">
            <x v="33"/>
            <x v="34"/>
            <x v="35"/>
            <x v="36"/>
            <x v="37"/>
            <x v="38"/>
          </reference>
          <reference field="4" count="1" selected="0">
            <x v="1"/>
          </reference>
          <reference field="5" count="1" selected="0">
            <x v="4"/>
          </reference>
        </references>
      </pivotArea>
    </format>
    <format dxfId="941">
      <pivotArea dataOnly="0" labelOnly="1" outline="0" fieldPosition="0">
        <references count="3">
          <reference field="0" count="6">
            <x v="39"/>
            <x v="40"/>
            <x v="43"/>
            <x v="44"/>
            <x v="49"/>
            <x v="50"/>
          </reference>
          <reference field="4" count="1" selected="0">
            <x v="1"/>
          </reference>
          <reference field="5" count="1" selected="0">
            <x v="5"/>
          </reference>
        </references>
      </pivotArea>
    </format>
    <format dxfId="940">
      <pivotArea dataOnly="0" labelOnly="1" outline="0" fieldPosition="0">
        <references count="3">
          <reference field="0" count="6">
            <x v="52"/>
            <x v="53"/>
            <x v="58"/>
            <x v="59"/>
            <x v="64"/>
            <x v="65"/>
          </reference>
          <reference field="4" count="1" selected="0">
            <x v="1"/>
          </reference>
          <reference field="5" count="1" selected="0">
            <x v="6"/>
          </reference>
        </references>
      </pivotArea>
    </format>
    <format dxfId="939">
      <pivotArea dataOnly="0" labelOnly="1" outline="0" fieldPosition="0">
        <references count="3">
          <reference field="0" count="3">
            <x v="67"/>
            <x v="68"/>
            <x v="69"/>
          </reference>
          <reference field="4" count="1" selected="0">
            <x v="0"/>
          </reference>
          <reference field="5" count="1" selected="0">
            <x v="7"/>
          </reference>
        </references>
      </pivotArea>
    </format>
    <format dxfId="938">
      <pivotArea dataOnly="0" labelOnly="1" outline="0" fieldPosition="0">
        <references count="3">
          <reference field="0" count="3">
            <x v="70"/>
            <x v="71"/>
            <x v="72"/>
          </reference>
          <reference field="4" count="1" selected="0">
            <x v="0"/>
          </reference>
          <reference field="5" count="1" selected="0">
            <x v="8"/>
          </reference>
        </references>
      </pivotArea>
    </format>
    <format dxfId="937">
      <pivotArea dataOnly="0" labelOnly="1" outline="0" fieldPosition="0">
        <references count="3">
          <reference field="0" count="3">
            <x v="0"/>
            <x v="1"/>
            <x v="2"/>
          </reference>
          <reference field="4" count="1" selected="0">
            <x v="0"/>
          </reference>
          <reference field="5" count="1" selected="0">
            <x v="9"/>
          </reference>
        </references>
      </pivotArea>
    </format>
    <format dxfId="936">
      <pivotArea dataOnly="0" labelOnly="1" outline="0" fieldPosition="0">
        <references count="3">
          <reference field="0" count="3">
            <x v="3"/>
            <x v="4"/>
            <x v="5"/>
          </reference>
          <reference field="4" count="1" selected="0">
            <x v="0"/>
          </reference>
          <reference field="5" count="1" selected="0">
            <x v="10"/>
          </reference>
        </references>
      </pivotArea>
    </format>
    <format dxfId="935">
      <pivotArea dataOnly="0" labelOnly="1" outline="0" fieldPosition="0">
        <references count="3">
          <reference field="0" count="3">
            <x v="6"/>
            <x v="7"/>
            <x v="8"/>
          </reference>
          <reference field="4" count="1" selected="0">
            <x v="0"/>
          </reference>
          <reference field="5" count="1" selected="0">
            <x v="11"/>
          </reference>
        </references>
      </pivotArea>
    </format>
    <format dxfId="934">
      <pivotArea dataOnly="0" labelOnly="1" outline="0" fieldPosition="0">
        <references count="4">
          <reference field="0" count="1" selected="0">
            <x v="9"/>
          </reference>
          <reference field="4" count="1" selected="0">
            <x v="2"/>
          </reference>
          <reference field="5" count="1" selected="0">
            <x v="0"/>
          </reference>
          <reference field="8" count="1">
            <x v="6"/>
          </reference>
        </references>
      </pivotArea>
    </format>
    <format dxfId="933">
      <pivotArea dataOnly="0" labelOnly="1" outline="0" fieldPosition="0">
        <references count="4">
          <reference field="0" count="1" selected="0">
            <x v="11"/>
          </reference>
          <reference field="4" count="1" selected="0">
            <x v="2"/>
          </reference>
          <reference field="5" count="1" selected="0">
            <x v="0"/>
          </reference>
          <reference field="8" count="1">
            <x v="3"/>
          </reference>
        </references>
      </pivotArea>
    </format>
    <format dxfId="932">
      <pivotArea dataOnly="0" labelOnly="1" outline="0" fieldPosition="0">
        <references count="4">
          <reference field="0" count="1" selected="0">
            <x v="12"/>
          </reference>
          <reference field="4" count="1" selected="0">
            <x v="2"/>
          </reference>
          <reference field="5" count="1" selected="0">
            <x v="0"/>
          </reference>
          <reference field="8" count="1">
            <x v="7"/>
          </reference>
        </references>
      </pivotArea>
    </format>
    <format dxfId="931">
      <pivotArea dataOnly="0" labelOnly="1" outline="0" fieldPosition="0">
        <references count="4">
          <reference field="0" count="1" selected="0">
            <x v="14"/>
          </reference>
          <reference field="4" count="1" selected="0">
            <x v="2"/>
          </reference>
          <reference field="5" count="1" selected="0">
            <x v="0"/>
          </reference>
          <reference field="8" count="1">
            <x v="5"/>
          </reference>
        </references>
      </pivotArea>
    </format>
    <format dxfId="930">
      <pivotArea dataOnly="0" labelOnly="1" outline="0" fieldPosition="0">
        <references count="4">
          <reference field="0" count="1" selected="0">
            <x v="15"/>
          </reference>
          <reference field="4" count="1" selected="0">
            <x v="2"/>
          </reference>
          <reference field="5" count="1" selected="0">
            <x v="1"/>
          </reference>
          <reference field="8" count="1">
            <x v="1"/>
          </reference>
        </references>
      </pivotArea>
    </format>
    <format dxfId="929">
      <pivotArea dataOnly="0" labelOnly="1" outline="0" fieldPosition="0">
        <references count="4">
          <reference field="0" count="1" selected="0">
            <x v="21"/>
          </reference>
          <reference field="4" count="1" selected="0">
            <x v="2"/>
          </reference>
          <reference field="5" count="1" selected="0">
            <x v="2"/>
          </reference>
          <reference field="8" count="1">
            <x v="6"/>
          </reference>
        </references>
      </pivotArea>
    </format>
    <format dxfId="928">
      <pivotArea dataOnly="0" labelOnly="1" outline="0" fieldPosition="0">
        <references count="4">
          <reference field="0" count="1" selected="0">
            <x v="23"/>
          </reference>
          <reference field="4" count="1" selected="0">
            <x v="2"/>
          </reference>
          <reference field="5" count="1" selected="0">
            <x v="2"/>
          </reference>
          <reference field="8" count="1">
            <x v="3"/>
          </reference>
        </references>
      </pivotArea>
    </format>
    <format dxfId="927">
      <pivotArea dataOnly="0" labelOnly="1" outline="0" fieldPosition="0">
        <references count="4">
          <reference field="0" count="1" selected="0">
            <x v="24"/>
          </reference>
          <reference field="4" count="1" selected="0">
            <x v="2"/>
          </reference>
          <reference field="5" count="1" selected="0">
            <x v="2"/>
          </reference>
          <reference field="8" count="1">
            <x v="7"/>
          </reference>
        </references>
      </pivotArea>
    </format>
    <format dxfId="926">
      <pivotArea dataOnly="0" labelOnly="1" outline="0" fieldPosition="0">
        <references count="4">
          <reference field="0" count="1" selected="0">
            <x v="26"/>
          </reference>
          <reference field="4" count="1" selected="0">
            <x v="2"/>
          </reference>
          <reference field="5" count="1" selected="0">
            <x v="2"/>
          </reference>
          <reference field="8" count="1">
            <x v="5"/>
          </reference>
        </references>
      </pivotArea>
    </format>
    <format dxfId="925">
      <pivotArea dataOnly="0" labelOnly="1" outline="0" fieldPosition="0">
        <references count="4">
          <reference field="0" count="1" selected="0">
            <x v="27"/>
          </reference>
          <reference field="4" count="1" selected="0">
            <x v="2"/>
          </reference>
          <reference field="5" count="1" selected="0">
            <x v="3"/>
          </reference>
          <reference field="8" count="1">
            <x v="7"/>
          </reference>
        </references>
      </pivotArea>
    </format>
    <format dxfId="924">
      <pivotArea dataOnly="0" labelOnly="1" outline="0" fieldPosition="0">
        <references count="4">
          <reference field="0" count="1" selected="0">
            <x v="29"/>
          </reference>
          <reference field="4" count="1" selected="0">
            <x v="2"/>
          </reference>
          <reference field="5" count="1" selected="0">
            <x v="3"/>
          </reference>
          <reference field="8" count="1">
            <x v="3"/>
          </reference>
        </references>
      </pivotArea>
    </format>
    <format dxfId="923">
      <pivotArea dataOnly="0" labelOnly="1" outline="0" fieldPosition="0">
        <references count="4">
          <reference field="0" count="1" selected="0">
            <x v="30"/>
          </reference>
          <reference field="4" count="1" selected="0">
            <x v="2"/>
          </reference>
          <reference field="5" count="1" selected="0">
            <x v="3"/>
          </reference>
          <reference field="8" count="1">
            <x v="4"/>
          </reference>
        </references>
      </pivotArea>
    </format>
    <format dxfId="922">
      <pivotArea dataOnly="0" labelOnly="1" outline="0" fieldPosition="0">
        <references count="4">
          <reference field="0" count="1" selected="0">
            <x v="31"/>
          </reference>
          <reference field="4" count="1" selected="0">
            <x v="2"/>
          </reference>
          <reference field="5" count="1" selected="0">
            <x v="3"/>
          </reference>
          <reference field="8" count="1">
            <x v="0"/>
          </reference>
        </references>
      </pivotArea>
    </format>
    <format dxfId="921">
      <pivotArea dataOnly="0" labelOnly="1" outline="0" fieldPosition="0">
        <references count="4">
          <reference field="0" count="1" selected="0">
            <x v="33"/>
          </reference>
          <reference field="4" count="1" selected="0">
            <x v="1"/>
          </reference>
          <reference field="5" count="1" selected="0">
            <x v="4"/>
          </reference>
          <reference field="8" count="1">
            <x v="5"/>
          </reference>
        </references>
      </pivotArea>
    </format>
    <format dxfId="920">
      <pivotArea dataOnly="0" labelOnly="1" outline="0" fieldPosition="0">
        <references count="4">
          <reference field="0" count="1" selected="0">
            <x v="35"/>
          </reference>
          <reference field="4" count="1" selected="0">
            <x v="1"/>
          </reference>
          <reference field="5" count="1" selected="0">
            <x v="4"/>
          </reference>
          <reference field="8" count="1">
            <x v="3"/>
          </reference>
        </references>
      </pivotArea>
    </format>
    <format dxfId="919">
      <pivotArea dataOnly="0" labelOnly="1" outline="0" fieldPosition="0">
        <references count="4">
          <reference field="0" count="1" selected="0">
            <x v="37"/>
          </reference>
          <reference field="4" count="1" selected="0">
            <x v="1"/>
          </reference>
          <reference field="5" count="1" selected="0">
            <x v="4"/>
          </reference>
          <reference field="8" count="1">
            <x v="5"/>
          </reference>
        </references>
      </pivotArea>
    </format>
    <format dxfId="918">
      <pivotArea dataOnly="0" labelOnly="1" outline="0" fieldPosition="0">
        <references count="4">
          <reference field="0" count="1" selected="0">
            <x v="38"/>
          </reference>
          <reference field="4" count="1" selected="0">
            <x v="1"/>
          </reference>
          <reference field="5" count="1" selected="0">
            <x v="4"/>
          </reference>
          <reference field="8" count="1">
            <x v="4"/>
          </reference>
        </references>
      </pivotArea>
    </format>
    <format dxfId="917">
      <pivotArea dataOnly="0" labelOnly="1" outline="0" fieldPosition="0">
        <references count="4">
          <reference field="0" count="1" selected="0">
            <x v="39"/>
          </reference>
          <reference field="4" count="1" selected="0">
            <x v="1"/>
          </reference>
          <reference field="5" count="1" selected="0">
            <x v="5"/>
          </reference>
          <reference field="8" count="1">
            <x v="6"/>
          </reference>
        </references>
      </pivotArea>
    </format>
    <format dxfId="916">
      <pivotArea dataOnly="0" labelOnly="1" outline="0" fieldPosition="0">
        <references count="4">
          <reference field="0" count="1" selected="0">
            <x v="40"/>
          </reference>
          <reference field="4" count="1" selected="0">
            <x v="1"/>
          </reference>
          <reference field="5" count="1" selected="0">
            <x v="5"/>
          </reference>
          <reference field="8" count="1">
            <x v="3"/>
          </reference>
        </references>
      </pivotArea>
    </format>
    <format dxfId="915">
      <pivotArea dataOnly="0" labelOnly="1" outline="0" fieldPosition="0">
        <references count="4">
          <reference field="0" count="1" selected="0">
            <x v="49"/>
          </reference>
          <reference field="4" count="1" selected="0">
            <x v="1"/>
          </reference>
          <reference field="5" count="1" selected="0">
            <x v="5"/>
          </reference>
          <reference field="8" count="1">
            <x v="7"/>
          </reference>
        </references>
      </pivotArea>
    </format>
    <format dxfId="914">
      <pivotArea dataOnly="0" labelOnly="1" outline="0" fieldPosition="0">
        <references count="4">
          <reference field="0" count="1" selected="0">
            <x v="50"/>
          </reference>
          <reference field="4" count="1" selected="0">
            <x v="1"/>
          </reference>
          <reference field="5" count="1" selected="0">
            <x v="5"/>
          </reference>
          <reference field="8" count="1">
            <x v="6"/>
          </reference>
        </references>
      </pivotArea>
    </format>
    <format dxfId="913">
      <pivotArea dataOnly="0" labelOnly="1" outline="0" fieldPosition="0">
        <references count="4">
          <reference field="0" count="1" selected="0">
            <x v="52"/>
          </reference>
          <reference field="4" count="1" selected="0">
            <x v="1"/>
          </reference>
          <reference field="5" count="1" selected="0">
            <x v="6"/>
          </reference>
          <reference field="8" count="1">
            <x v="3"/>
          </reference>
        </references>
      </pivotArea>
    </format>
    <format dxfId="912">
      <pivotArea dataOnly="0" labelOnly="1" outline="0" fieldPosition="0">
        <references count="4">
          <reference field="0" count="1" selected="0">
            <x v="53"/>
          </reference>
          <reference field="4" count="1" selected="0">
            <x v="1"/>
          </reference>
          <reference field="5" count="1" selected="0">
            <x v="6"/>
          </reference>
          <reference field="8" count="1">
            <x v="6"/>
          </reference>
        </references>
      </pivotArea>
    </format>
    <format dxfId="911">
      <pivotArea dataOnly="0" labelOnly="1" outline="0" fieldPosition="0">
        <references count="4">
          <reference field="0" count="1" selected="0">
            <x v="58"/>
          </reference>
          <reference field="4" count="1" selected="0">
            <x v="1"/>
          </reference>
          <reference field="5" count="1" selected="0">
            <x v="6"/>
          </reference>
          <reference field="8" count="1">
            <x v="3"/>
          </reference>
        </references>
      </pivotArea>
    </format>
    <format dxfId="910">
      <pivotArea dataOnly="0" labelOnly="1" outline="0" fieldPosition="0">
        <references count="4">
          <reference field="0" count="1" selected="0">
            <x v="64"/>
          </reference>
          <reference field="4" count="1" selected="0">
            <x v="1"/>
          </reference>
          <reference field="5" count="1" selected="0">
            <x v="6"/>
          </reference>
          <reference field="8" count="1">
            <x v="6"/>
          </reference>
        </references>
      </pivotArea>
    </format>
    <format dxfId="909">
      <pivotArea dataOnly="0" labelOnly="1" outline="0" fieldPosition="0">
        <references count="4">
          <reference field="0" count="1" selected="0">
            <x v="65"/>
          </reference>
          <reference field="4" count="1" selected="0">
            <x v="1"/>
          </reference>
          <reference field="5" count="1" selected="0">
            <x v="6"/>
          </reference>
          <reference field="8" count="1">
            <x v="7"/>
          </reference>
        </references>
      </pivotArea>
    </format>
    <format dxfId="908">
      <pivotArea dataOnly="0" labelOnly="1" outline="0" fieldPosition="0">
        <references count="4">
          <reference field="0" count="1" selected="0">
            <x v="67"/>
          </reference>
          <reference field="4" count="1" selected="0">
            <x v="0"/>
          </reference>
          <reference field="5" count="1" selected="0">
            <x v="7"/>
          </reference>
          <reference field="8" count="1">
            <x v="2"/>
          </reference>
        </references>
      </pivotArea>
    </format>
    <format dxfId="907">
      <pivotArea dataOnly="0" labelOnly="1" outline="0" fieldPosition="0">
        <references count="4">
          <reference field="0" count="1" selected="0">
            <x v="70"/>
          </reference>
          <reference field="4" count="1" selected="0">
            <x v="0"/>
          </reference>
          <reference field="5" count="1" selected="0">
            <x v="8"/>
          </reference>
          <reference field="8" count="1">
            <x v="2"/>
          </reference>
        </references>
      </pivotArea>
    </format>
    <format dxfId="906">
      <pivotArea dataOnly="0" labelOnly="1" outline="0" fieldPosition="0">
        <references count="4">
          <reference field="0" count="1" selected="0">
            <x v="0"/>
          </reference>
          <reference field="4" count="1" selected="0">
            <x v="0"/>
          </reference>
          <reference field="5" count="1" selected="0">
            <x v="9"/>
          </reference>
          <reference field="8" count="1">
            <x v="2"/>
          </reference>
        </references>
      </pivotArea>
    </format>
    <format dxfId="905">
      <pivotArea dataOnly="0" labelOnly="1" outline="0" fieldPosition="0">
        <references count="4">
          <reference field="0" count="1" selected="0">
            <x v="3"/>
          </reference>
          <reference field="4" count="1" selected="0">
            <x v="0"/>
          </reference>
          <reference field="5" count="1" selected="0">
            <x v="10"/>
          </reference>
          <reference field="8" count="1">
            <x v="2"/>
          </reference>
        </references>
      </pivotArea>
    </format>
    <format dxfId="904">
      <pivotArea dataOnly="0" labelOnly="1" outline="0" fieldPosition="0">
        <references count="4">
          <reference field="0" count="1" selected="0">
            <x v="6"/>
          </reference>
          <reference field="4" count="1" selected="0">
            <x v="0"/>
          </reference>
          <reference field="5" count="1" selected="0">
            <x v="11"/>
          </reference>
          <reference field="8" count="1">
            <x v="2"/>
          </reference>
        </references>
      </pivotArea>
    </format>
    <format dxfId="903">
      <pivotArea dataOnly="0" labelOnly="1" outline="0" fieldPosition="0">
        <references count="5">
          <reference field="0" count="1" selected="0">
            <x v="9"/>
          </reference>
          <reference field="4" count="1" selected="0">
            <x v="2"/>
          </reference>
          <reference field="5" count="1" selected="0">
            <x v="0"/>
          </reference>
          <reference field="8" count="1" selected="0">
            <x v="6"/>
          </reference>
          <reference field="10" count="1">
            <x v="0"/>
          </reference>
        </references>
      </pivotArea>
    </format>
    <format dxfId="902">
      <pivotArea dataOnly="0" labelOnly="1" outline="0" fieldPosition="0">
        <references count="5">
          <reference field="0" count="1" selected="0">
            <x v="14"/>
          </reference>
          <reference field="4" count="1" selected="0">
            <x v="2"/>
          </reference>
          <reference field="5" count="1" selected="0">
            <x v="0"/>
          </reference>
          <reference field="8" count="1" selected="0">
            <x v="5"/>
          </reference>
          <reference field="10" count="1">
            <x v="2"/>
          </reference>
        </references>
      </pivotArea>
    </format>
    <format dxfId="901">
      <pivotArea dataOnly="0" labelOnly="1" outline="0" fieldPosition="0">
        <references count="5">
          <reference field="0" count="1" selected="0">
            <x v="15"/>
          </reference>
          <reference field="4" count="1" selected="0">
            <x v="2"/>
          </reference>
          <reference field="5" count="1" selected="0">
            <x v="1"/>
          </reference>
          <reference field="8" count="1" selected="0">
            <x v="1"/>
          </reference>
          <reference field="10" count="1">
            <x v="0"/>
          </reference>
        </references>
      </pivotArea>
    </format>
    <format dxfId="900">
      <pivotArea dataOnly="0" labelOnly="1" outline="0" fieldPosition="0">
        <references count="5">
          <reference field="0" count="1" selected="0">
            <x v="16"/>
          </reference>
          <reference field="4" count="1" selected="0">
            <x v="2"/>
          </reference>
          <reference field="5" count="1" selected="0">
            <x v="1"/>
          </reference>
          <reference field="8" count="1" selected="0">
            <x v="1"/>
          </reference>
          <reference field="10" count="1">
            <x v="1"/>
          </reference>
        </references>
      </pivotArea>
    </format>
    <format dxfId="899">
      <pivotArea dataOnly="0" labelOnly="1" outline="0" fieldPosition="0">
        <references count="5">
          <reference field="0" count="1" selected="0">
            <x v="17"/>
          </reference>
          <reference field="4" count="1" selected="0">
            <x v="2"/>
          </reference>
          <reference field="5" count="1" selected="0">
            <x v="1"/>
          </reference>
          <reference field="8" count="1" selected="0">
            <x v="1"/>
          </reference>
          <reference field="10" count="1">
            <x v="0"/>
          </reference>
        </references>
      </pivotArea>
    </format>
    <format dxfId="898">
      <pivotArea dataOnly="0" labelOnly="1" outline="0" fieldPosition="0">
        <references count="5">
          <reference field="0" count="1" selected="0">
            <x v="18"/>
          </reference>
          <reference field="4" count="1" selected="0">
            <x v="2"/>
          </reference>
          <reference field="5" count="1" selected="0">
            <x v="1"/>
          </reference>
          <reference field="8" count="1" selected="0">
            <x v="1"/>
          </reference>
          <reference field="10" count="1">
            <x v="1"/>
          </reference>
        </references>
      </pivotArea>
    </format>
    <format dxfId="897">
      <pivotArea dataOnly="0" labelOnly="1" outline="0" fieldPosition="0">
        <references count="5">
          <reference field="0" count="1" selected="0">
            <x v="19"/>
          </reference>
          <reference field="4" count="1" selected="0">
            <x v="2"/>
          </reference>
          <reference field="5" count="1" selected="0">
            <x v="1"/>
          </reference>
          <reference field="8" count="1" selected="0">
            <x v="1"/>
          </reference>
          <reference field="10" count="1">
            <x v="0"/>
          </reference>
        </references>
      </pivotArea>
    </format>
    <format dxfId="896">
      <pivotArea dataOnly="0" labelOnly="1" outline="0" fieldPosition="0">
        <references count="5">
          <reference field="0" count="1" selected="0">
            <x v="20"/>
          </reference>
          <reference field="4" count="1" selected="0">
            <x v="2"/>
          </reference>
          <reference field="5" count="1" selected="0">
            <x v="1"/>
          </reference>
          <reference field="8" count="1" selected="0">
            <x v="1"/>
          </reference>
          <reference field="10" count="1">
            <x v="1"/>
          </reference>
        </references>
      </pivotArea>
    </format>
    <format dxfId="895">
      <pivotArea dataOnly="0" labelOnly="1" outline="0" fieldPosition="0">
        <references count="5">
          <reference field="0" count="1" selected="0">
            <x v="21"/>
          </reference>
          <reference field="4" count="1" selected="0">
            <x v="2"/>
          </reference>
          <reference field="5" count="1" selected="0">
            <x v="2"/>
          </reference>
          <reference field="8" count="1" selected="0">
            <x v="6"/>
          </reference>
          <reference field="10" count="1">
            <x v="0"/>
          </reference>
        </references>
      </pivotArea>
    </format>
    <format dxfId="894">
      <pivotArea dataOnly="0" labelOnly="1" outline="0" fieldPosition="0">
        <references count="5">
          <reference field="0" count="1" selected="0">
            <x v="26"/>
          </reference>
          <reference field="4" count="1" selected="0">
            <x v="2"/>
          </reference>
          <reference field="5" count="1" selected="0">
            <x v="2"/>
          </reference>
          <reference field="8" count="1" selected="0">
            <x v="5"/>
          </reference>
          <reference field="10" count="1">
            <x v="2"/>
          </reference>
        </references>
      </pivotArea>
    </format>
    <format dxfId="893">
      <pivotArea dataOnly="0" labelOnly="1" outline="0" fieldPosition="0">
        <references count="5">
          <reference field="0" count="1" selected="0">
            <x v="27"/>
          </reference>
          <reference field="4" count="1" selected="0">
            <x v="2"/>
          </reference>
          <reference field="5" count="1" selected="0">
            <x v="3"/>
          </reference>
          <reference field="8" count="1" selected="0">
            <x v="7"/>
          </reference>
          <reference field="10" count="1">
            <x v="0"/>
          </reference>
        </references>
      </pivotArea>
    </format>
    <format dxfId="892">
      <pivotArea dataOnly="0" labelOnly="1" outline="0" fieldPosition="0">
        <references count="5">
          <reference field="0" count="1" selected="0">
            <x v="30"/>
          </reference>
          <reference field="4" count="1" selected="0">
            <x v="2"/>
          </reference>
          <reference field="5" count="1" selected="0">
            <x v="3"/>
          </reference>
          <reference field="8" count="1" selected="0">
            <x v="4"/>
          </reference>
          <reference field="10" count="1">
            <x v="1"/>
          </reference>
        </references>
      </pivotArea>
    </format>
    <format dxfId="891">
      <pivotArea dataOnly="0" labelOnly="1" outline="0" fieldPosition="0">
        <references count="5">
          <reference field="0" count="1" selected="0">
            <x v="31"/>
          </reference>
          <reference field="4" count="1" selected="0">
            <x v="2"/>
          </reference>
          <reference field="5" count="1" selected="0">
            <x v="3"/>
          </reference>
          <reference field="8" count="1" selected="0">
            <x v="0"/>
          </reference>
          <reference field="10" count="1">
            <x v="0"/>
          </reference>
        </references>
      </pivotArea>
    </format>
    <format dxfId="890">
      <pivotArea dataOnly="0" labelOnly="1" outline="0" fieldPosition="0">
        <references count="5">
          <reference field="0" count="1" selected="0">
            <x v="33"/>
          </reference>
          <reference field="4" count="1" selected="0">
            <x v="1"/>
          </reference>
          <reference field="5" count="1" selected="0">
            <x v="4"/>
          </reference>
          <reference field="8" count="1" selected="0">
            <x v="5"/>
          </reference>
          <reference field="10" count="1">
            <x v="2"/>
          </reference>
        </references>
      </pivotArea>
    </format>
    <format dxfId="889">
      <pivotArea dataOnly="0" labelOnly="1" outline="0" fieldPosition="0">
        <references count="5">
          <reference field="0" count="1" selected="0">
            <x v="35"/>
          </reference>
          <reference field="4" count="1" selected="0">
            <x v="1"/>
          </reference>
          <reference field="5" count="1" selected="0">
            <x v="4"/>
          </reference>
          <reference field="8" count="1" selected="0">
            <x v="3"/>
          </reference>
          <reference field="10" count="1">
            <x v="1"/>
          </reference>
        </references>
      </pivotArea>
    </format>
    <format dxfId="888">
      <pivotArea dataOnly="0" labelOnly="1" outline="0" fieldPosition="0">
        <references count="5">
          <reference field="0" count="1" selected="0">
            <x v="37"/>
          </reference>
          <reference field="4" count="1" selected="0">
            <x v="1"/>
          </reference>
          <reference field="5" count="1" selected="0">
            <x v="4"/>
          </reference>
          <reference field="8" count="1" selected="0">
            <x v="5"/>
          </reference>
          <reference field="10" count="1">
            <x v="2"/>
          </reference>
        </references>
      </pivotArea>
    </format>
    <format dxfId="887">
      <pivotArea dataOnly="0" labelOnly="1" outline="0" fieldPosition="0">
        <references count="5">
          <reference field="0" count="1" selected="0">
            <x v="38"/>
          </reference>
          <reference field="4" count="1" selected="0">
            <x v="1"/>
          </reference>
          <reference field="5" count="1" selected="0">
            <x v="4"/>
          </reference>
          <reference field="8" count="1" selected="0">
            <x v="4"/>
          </reference>
          <reference field="10" count="1">
            <x v="1"/>
          </reference>
        </references>
      </pivotArea>
    </format>
    <format dxfId="886">
      <pivotArea dataOnly="0" labelOnly="1" outline="0" fieldPosition="0">
        <references count="5">
          <reference field="0" count="1" selected="0">
            <x v="39"/>
          </reference>
          <reference field="4" count="1" selected="0">
            <x v="1"/>
          </reference>
          <reference field="5" count="1" selected="0">
            <x v="5"/>
          </reference>
          <reference field="8" count="1" selected="0">
            <x v="6"/>
          </reference>
          <reference field="10" count="1">
            <x v="0"/>
          </reference>
        </references>
      </pivotArea>
    </format>
    <format dxfId="885">
      <pivotArea dataOnly="0" labelOnly="1" outline="0" fieldPosition="0">
        <references count="5">
          <reference field="0" count="1" selected="0">
            <x v="52"/>
          </reference>
          <reference field="4" count="1" selected="0">
            <x v="1"/>
          </reference>
          <reference field="5" count="1" selected="0">
            <x v="6"/>
          </reference>
          <reference field="8" count="1" selected="0">
            <x v="3"/>
          </reference>
          <reference field="10" count="1">
            <x v="0"/>
          </reference>
        </references>
      </pivotArea>
    </format>
    <format dxfId="884">
      <pivotArea dataOnly="0" labelOnly="1" outline="0" fieldPosition="0">
        <references count="5">
          <reference field="0" count="1" selected="0">
            <x v="67"/>
          </reference>
          <reference field="4" count="1" selected="0">
            <x v="0"/>
          </reference>
          <reference field="5" count="1" selected="0">
            <x v="7"/>
          </reference>
          <reference field="8" count="1" selected="0">
            <x v="2"/>
          </reference>
          <reference field="10" count="1">
            <x v="0"/>
          </reference>
        </references>
      </pivotArea>
    </format>
    <format dxfId="883">
      <pivotArea dataOnly="0" labelOnly="1" outline="0" fieldPosition="0">
        <references count="5">
          <reference field="0" count="1" selected="0">
            <x v="70"/>
          </reference>
          <reference field="4" count="1" selected="0">
            <x v="0"/>
          </reference>
          <reference field="5" count="1" selected="0">
            <x v="8"/>
          </reference>
          <reference field="8" count="1" selected="0">
            <x v="2"/>
          </reference>
          <reference field="10" count="1">
            <x v="0"/>
          </reference>
        </references>
      </pivotArea>
    </format>
    <format dxfId="882">
      <pivotArea dataOnly="0" labelOnly="1" outline="0" fieldPosition="0">
        <references count="5">
          <reference field="0" count="1" selected="0">
            <x v="0"/>
          </reference>
          <reference field="4" count="1" selected="0">
            <x v="0"/>
          </reference>
          <reference field="5" count="1" selected="0">
            <x v="9"/>
          </reference>
          <reference field="8" count="1" selected="0">
            <x v="2"/>
          </reference>
          <reference field="10" count="1">
            <x v="0"/>
          </reference>
        </references>
      </pivotArea>
    </format>
    <format dxfId="881">
      <pivotArea dataOnly="0" labelOnly="1" outline="0" fieldPosition="0">
        <references count="5">
          <reference field="0" count="1" selected="0">
            <x v="3"/>
          </reference>
          <reference field="4" count="1" selected="0">
            <x v="0"/>
          </reference>
          <reference field="5" count="1" selected="0">
            <x v="10"/>
          </reference>
          <reference field="8" count="1" selected="0">
            <x v="2"/>
          </reference>
          <reference field="10" count="1">
            <x v="0"/>
          </reference>
        </references>
      </pivotArea>
    </format>
    <format dxfId="880">
      <pivotArea dataOnly="0" labelOnly="1" outline="0" fieldPosition="0">
        <references count="5">
          <reference field="0" count="1" selected="0">
            <x v="6"/>
          </reference>
          <reference field="4" count="1" selected="0">
            <x v="0"/>
          </reference>
          <reference field="5" count="1" selected="0">
            <x v="11"/>
          </reference>
          <reference field="8" count="1" selected="0">
            <x v="2"/>
          </reference>
          <reference field="10" count="1">
            <x v="0"/>
          </reference>
        </references>
      </pivotArea>
    </format>
    <format dxfId="879">
      <pivotArea dataOnly="0" labelOnly="1" outline="0" fieldPosition="0">
        <references count="6">
          <reference field="0" count="1" selected="0">
            <x v="9"/>
          </reference>
          <reference field="4" count="1" selected="0">
            <x v="2"/>
          </reference>
          <reference field="5" count="1" selected="0">
            <x v="0"/>
          </reference>
          <reference field="8" count="1" selected="0">
            <x v="6"/>
          </reference>
          <reference field="10" count="1" selected="0">
            <x v="0"/>
          </reference>
          <reference field="12" count="1">
            <x v="16"/>
          </reference>
        </references>
      </pivotArea>
    </format>
    <format dxfId="878">
      <pivotArea dataOnly="0" labelOnly="1" outline="0" fieldPosition="0">
        <references count="6">
          <reference field="0" count="1" selected="0">
            <x v="10"/>
          </reference>
          <reference field="4" count="1" selected="0">
            <x v="2"/>
          </reference>
          <reference field="5" count="1" selected="0">
            <x v="0"/>
          </reference>
          <reference field="8" count="1" selected="0">
            <x v="6"/>
          </reference>
          <reference field="10" count="1" selected="0">
            <x v="0"/>
          </reference>
          <reference field="12" count="1">
            <x v="14"/>
          </reference>
        </references>
      </pivotArea>
    </format>
    <format dxfId="877">
      <pivotArea dataOnly="0" labelOnly="1" outline="0" fieldPosition="0">
        <references count="6">
          <reference field="0" count="1" selected="0">
            <x v="11"/>
          </reference>
          <reference field="4" count="1" selected="0">
            <x v="2"/>
          </reference>
          <reference field="5" count="1" selected="0">
            <x v="0"/>
          </reference>
          <reference field="8" count="1" selected="0">
            <x v="3"/>
          </reference>
          <reference field="10" count="1" selected="0">
            <x v="0"/>
          </reference>
          <reference field="12" count="1">
            <x v="11"/>
          </reference>
        </references>
      </pivotArea>
    </format>
    <format dxfId="876">
      <pivotArea dataOnly="0" labelOnly="1" outline="0" fieldPosition="0">
        <references count="6">
          <reference field="0" count="1" selected="0">
            <x v="12"/>
          </reference>
          <reference field="4" count="1" selected="0">
            <x v="2"/>
          </reference>
          <reference field="5" count="1" selected="0">
            <x v="0"/>
          </reference>
          <reference field="8" count="1" selected="0">
            <x v="7"/>
          </reference>
          <reference field="10" count="1" selected="0">
            <x v="0"/>
          </reference>
          <reference field="12" count="2">
            <x v="5"/>
            <x v="8"/>
          </reference>
        </references>
      </pivotArea>
    </format>
    <format dxfId="875">
      <pivotArea dataOnly="0" labelOnly="1" outline="0" fieldPosition="0">
        <references count="6">
          <reference field="0" count="1" selected="0">
            <x v="13"/>
          </reference>
          <reference field="4" count="1" selected="0">
            <x v="2"/>
          </reference>
          <reference field="5" count="1" selected="0">
            <x v="0"/>
          </reference>
          <reference field="8" count="1" selected="0">
            <x v="7"/>
          </reference>
          <reference field="10" count="1" selected="0">
            <x v="0"/>
          </reference>
          <reference field="12" count="2">
            <x v="15"/>
            <x v="18"/>
          </reference>
        </references>
      </pivotArea>
    </format>
    <format dxfId="874">
      <pivotArea dataOnly="0" labelOnly="1" outline="0" fieldPosition="0">
        <references count="6">
          <reference field="0" count="1" selected="0">
            <x v="14"/>
          </reference>
          <reference field="4" count="1" selected="0">
            <x v="2"/>
          </reference>
          <reference field="5" count="1" selected="0">
            <x v="0"/>
          </reference>
          <reference field="8" count="1" selected="0">
            <x v="5"/>
          </reference>
          <reference field="10" count="1" selected="0">
            <x v="2"/>
          </reference>
          <reference field="12" count="1">
            <x v="34"/>
          </reference>
        </references>
      </pivotArea>
    </format>
    <format dxfId="873">
      <pivotArea dataOnly="0" labelOnly="1" outline="0" fieldPosition="0">
        <references count="6">
          <reference field="0" count="1" selected="0">
            <x v="15"/>
          </reference>
          <reference field="4" count="1" selected="0">
            <x v="2"/>
          </reference>
          <reference field="5" count="1" selected="0">
            <x v="1"/>
          </reference>
          <reference field="8" count="1" selected="0">
            <x v="1"/>
          </reference>
          <reference field="10" count="1" selected="0">
            <x v="0"/>
          </reference>
          <reference field="12" count="1">
            <x v="33"/>
          </reference>
        </references>
      </pivotArea>
    </format>
    <format dxfId="872">
      <pivotArea dataOnly="0" labelOnly="1" outline="0" fieldPosition="0">
        <references count="6">
          <reference field="0" count="1" selected="0">
            <x v="21"/>
          </reference>
          <reference field="4" count="1" selected="0">
            <x v="2"/>
          </reference>
          <reference field="5" count="1" selected="0">
            <x v="2"/>
          </reference>
          <reference field="8" count="1" selected="0">
            <x v="6"/>
          </reference>
          <reference field="10" count="1" selected="0">
            <x v="0"/>
          </reference>
          <reference field="12" count="1">
            <x v="13"/>
          </reference>
        </references>
      </pivotArea>
    </format>
    <format dxfId="871">
      <pivotArea dataOnly="0" labelOnly="1" outline="0" fieldPosition="0">
        <references count="6">
          <reference field="0" count="1" selected="0">
            <x v="22"/>
          </reference>
          <reference field="4" count="1" selected="0">
            <x v="2"/>
          </reference>
          <reference field="5" count="1" selected="0">
            <x v="2"/>
          </reference>
          <reference field="8" count="1" selected="0">
            <x v="6"/>
          </reference>
          <reference field="10" count="1" selected="0">
            <x v="0"/>
          </reference>
          <reference field="12" count="1">
            <x v="17"/>
          </reference>
        </references>
      </pivotArea>
    </format>
    <format dxfId="870">
      <pivotArea dataOnly="0" labelOnly="1" outline="0" fieldPosition="0">
        <references count="6">
          <reference field="0" count="1" selected="0">
            <x v="23"/>
          </reference>
          <reference field="4" count="1" selected="0">
            <x v="2"/>
          </reference>
          <reference field="5" count="1" selected="0">
            <x v="2"/>
          </reference>
          <reference field="8" count="1" selected="0">
            <x v="3"/>
          </reference>
          <reference field="10" count="1" selected="0">
            <x v="0"/>
          </reference>
          <reference field="12" count="1">
            <x v="19"/>
          </reference>
        </references>
      </pivotArea>
    </format>
    <format dxfId="869">
      <pivotArea dataOnly="0" labelOnly="1" outline="0" fieldPosition="0">
        <references count="6">
          <reference field="0" count="1" selected="0">
            <x v="24"/>
          </reference>
          <reference field="4" count="1" selected="0">
            <x v="2"/>
          </reference>
          <reference field="5" count="1" selected="0">
            <x v="2"/>
          </reference>
          <reference field="8" count="1" selected="0">
            <x v="7"/>
          </reference>
          <reference field="10" count="1" selected="0">
            <x v="0"/>
          </reference>
          <reference field="12" count="2">
            <x v="0"/>
            <x v="1"/>
          </reference>
        </references>
      </pivotArea>
    </format>
    <format dxfId="868">
      <pivotArea dataOnly="0" labelOnly="1" outline="0" fieldPosition="0">
        <references count="6">
          <reference field="0" count="1" selected="0">
            <x v="25"/>
          </reference>
          <reference field="4" count="1" selected="0">
            <x v="2"/>
          </reference>
          <reference field="5" count="1" selected="0">
            <x v="2"/>
          </reference>
          <reference field="8" count="1" selected="0">
            <x v="7"/>
          </reference>
          <reference field="10" count="1" selected="0">
            <x v="0"/>
          </reference>
          <reference field="12" count="2">
            <x v="15"/>
            <x v="18"/>
          </reference>
        </references>
      </pivotArea>
    </format>
    <format dxfId="867">
      <pivotArea dataOnly="0" labelOnly="1" outline="0" fieldPosition="0">
        <references count="6">
          <reference field="0" count="1" selected="0">
            <x v="26"/>
          </reference>
          <reference field="4" count="1" selected="0">
            <x v="2"/>
          </reference>
          <reference field="5" count="1" selected="0">
            <x v="2"/>
          </reference>
          <reference field="8" count="1" selected="0">
            <x v="5"/>
          </reference>
          <reference field="10" count="1" selected="0">
            <x v="2"/>
          </reference>
          <reference field="12" count="1">
            <x v="34"/>
          </reference>
        </references>
      </pivotArea>
    </format>
    <format dxfId="866">
      <pivotArea dataOnly="0" labelOnly="1" outline="0" fieldPosition="0">
        <references count="6">
          <reference field="0" count="1" selected="0">
            <x v="27"/>
          </reference>
          <reference field="4" count="1" selected="0">
            <x v="2"/>
          </reference>
          <reference field="5" count="1" selected="0">
            <x v="3"/>
          </reference>
          <reference field="8" count="1" selected="0">
            <x v="7"/>
          </reference>
          <reference field="10" count="1" selected="0">
            <x v="0"/>
          </reference>
          <reference field="12" count="1">
            <x v="6"/>
          </reference>
        </references>
      </pivotArea>
    </format>
    <format dxfId="865">
      <pivotArea dataOnly="0" labelOnly="1" outline="0" fieldPosition="0">
        <references count="6">
          <reference field="0" count="1" selected="0">
            <x v="28"/>
          </reference>
          <reference field="4" count="1" selected="0">
            <x v="2"/>
          </reference>
          <reference field="5" count="1" selected="0">
            <x v="3"/>
          </reference>
          <reference field="8" count="1" selected="0">
            <x v="7"/>
          </reference>
          <reference field="10" count="1" selected="0">
            <x v="0"/>
          </reference>
          <reference field="12" count="1">
            <x v="7"/>
          </reference>
        </references>
      </pivotArea>
    </format>
    <format dxfId="864">
      <pivotArea dataOnly="0" labelOnly="1" outline="0" fieldPosition="0">
        <references count="6">
          <reference field="0" count="1" selected="0">
            <x v="29"/>
          </reference>
          <reference field="4" count="1" selected="0">
            <x v="2"/>
          </reference>
          <reference field="5" count="1" selected="0">
            <x v="3"/>
          </reference>
          <reference field="8" count="1" selected="0">
            <x v="3"/>
          </reference>
          <reference field="10" count="1" selected="0">
            <x v="0"/>
          </reference>
          <reference field="12" count="1">
            <x v="11"/>
          </reference>
        </references>
      </pivotArea>
    </format>
    <format dxfId="863">
      <pivotArea dataOnly="0" labelOnly="1" outline="0" fieldPosition="0">
        <references count="6">
          <reference field="0" count="1" selected="0">
            <x v="30"/>
          </reference>
          <reference field="4" count="1" selected="0">
            <x v="2"/>
          </reference>
          <reference field="5" count="1" selected="0">
            <x v="3"/>
          </reference>
          <reference field="8" count="1" selected="0">
            <x v="4"/>
          </reference>
          <reference field="10" count="1" selected="0">
            <x v="1"/>
          </reference>
          <reference field="12" count="2">
            <x v="5"/>
            <x v="8"/>
          </reference>
        </references>
      </pivotArea>
    </format>
    <format dxfId="862">
      <pivotArea dataOnly="0" labelOnly="1" outline="0" fieldPosition="0">
        <references count="6">
          <reference field="0" count="1" selected="0">
            <x v="31"/>
          </reference>
          <reference field="4" count="1" selected="0">
            <x v="2"/>
          </reference>
          <reference field="5" count="1" selected="0">
            <x v="3"/>
          </reference>
          <reference field="8" count="1" selected="0">
            <x v="0"/>
          </reference>
          <reference field="10" count="1" selected="0">
            <x v="0"/>
          </reference>
          <reference field="12" count="1">
            <x v="9"/>
          </reference>
        </references>
      </pivotArea>
    </format>
    <format dxfId="861">
      <pivotArea dataOnly="0" labelOnly="1" outline="0" fieldPosition="0">
        <references count="6">
          <reference field="0" count="1" selected="0">
            <x v="32"/>
          </reference>
          <reference field="4" count="1" selected="0">
            <x v="2"/>
          </reference>
          <reference field="5" count="1" selected="0">
            <x v="3"/>
          </reference>
          <reference field="8" count="1" selected="0">
            <x v="0"/>
          </reference>
          <reference field="10" count="1" selected="0">
            <x v="0"/>
          </reference>
          <reference field="12" count="1">
            <x v="10"/>
          </reference>
        </references>
      </pivotArea>
    </format>
    <format dxfId="860">
      <pivotArea dataOnly="0" labelOnly="1" outline="0" fieldPosition="0">
        <references count="6">
          <reference field="0" count="1" selected="0">
            <x v="35"/>
          </reference>
          <reference field="4" count="1" selected="0">
            <x v="1"/>
          </reference>
          <reference field="5" count="1" selected="0">
            <x v="4"/>
          </reference>
          <reference field="8" count="1" selected="0">
            <x v="3"/>
          </reference>
          <reference field="10" count="1" selected="0">
            <x v="1"/>
          </reference>
          <reference field="12" count="1">
            <x v="4"/>
          </reference>
        </references>
      </pivotArea>
    </format>
    <format dxfId="859">
      <pivotArea dataOnly="0" labelOnly="1" outline="0" fieldPosition="0">
        <references count="6">
          <reference field="0" count="1" selected="0">
            <x v="36"/>
          </reference>
          <reference field="4" count="1" selected="0">
            <x v="1"/>
          </reference>
          <reference field="5" count="1" selected="0">
            <x v="4"/>
          </reference>
          <reference field="8" count="1" selected="0">
            <x v="3"/>
          </reference>
          <reference field="10" count="1" selected="0">
            <x v="1"/>
          </reference>
          <reference field="12" count="1">
            <x v="3"/>
          </reference>
        </references>
      </pivotArea>
    </format>
    <format dxfId="858">
      <pivotArea dataOnly="0" labelOnly="1" outline="0" fieldPosition="0">
        <references count="6">
          <reference field="0" count="1" selected="0">
            <x v="37"/>
          </reference>
          <reference field="4" count="1" selected="0">
            <x v="1"/>
          </reference>
          <reference field="5" count="1" selected="0">
            <x v="4"/>
          </reference>
          <reference field="8" count="1" selected="0">
            <x v="5"/>
          </reference>
          <reference field="10" count="1" selected="0">
            <x v="2"/>
          </reference>
          <reference field="12" count="1">
            <x v="34"/>
          </reference>
        </references>
      </pivotArea>
    </format>
    <format dxfId="857">
      <pivotArea dataOnly="0" labelOnly="1" outline="0" fieldPosition="0">
        <references count="6">
          <reference field="0" count="1" selected="0">
            <x v="38"/>
          </reference>
          <reference field="4" count="1" selected="0">
            <x v="1"/>
          </reference>
          <reference field="5" count="1" selected="0">
            <x v="4"/>
          </reference>
          <reference field="8" count="1" selected="0">
            <x v="4"/>
          </reference>
          <reference field="10" count="1" selected="0">
            <x v="1"/>
          </reference>
          <reference field="12" count="3">
            <x v="0"/>
            <x v="1"/>
            <x v="2"/>
          </reference>
        </references>
      </pivotArea>
    </format>
    <format dxfId="856">
      <pivotArea dataOnly="0" labelOnly="1" outline="0" fieldPosition="0">
        <references count="6">
          <reference field="0" count="1" selected="0">
            <x v="39"/>
          </reference>
          <reference field="4" count="1" selected="0">
            <x v="1"/>
          </reference>
          <reference field="5" count="1" selected="0">
            <x v="5"/>
          </reference>
          <reference field="8" count="1" selected="0">
            <x v="6"/>
          </reference>
          <reference field="10" count="1" selected="0">
            <x v="0"/>
          </reference>
          <reference field="12" count="1">
            <x v="22"/>
          </reference>
        </references>
      </pivotArea>
    </format>
    <format dxfId="855">
      <pivotArea dataOnly="0" labelOnly="1" outline="0" fieldPosition="0">
        <references count="6">
          <reference field="0" count="1" selected="0">
            <x v="40"/>
          </reference>
          <reference field="4" count="1" selected="0">
            <x v="1"/>
          </reference>
          <reference field="5" count="1" selected="0">
            <x v="5"/>
          </reference>
          <reference field="8" count="1" selected="0">
            <x v="3"/>
          </reference>
          <reference field="10" count="1" selected="0">
            <x v="0"/>
          </reference>
          <reference field="12" count="1">
            <x v="12"/>
          </reference>
        </references>
      </pivotArea>
    </format>
    <format dxfId="854">
      <pivotArea dataOnly="0" labelOnly="1" outline="0" fieldPosition="0">
        <references count="6">
          <reference field="0" count="1" selected="0">
            <x v="43"/>
          </reference>
          <reference field="4" count="1" selected="0">
            <x v="1"/>
          </reference>
          <reference field="5" count="1" selected="0">
            <x v="5"/>
          </reference>
          <reference field="8" count="1" selected="0">
            <x v="3"/>
          </reference>
          <reference field="10" count="1" selected="0">
            <x v="0"/>
          </reference>
          <reference field="12" count="1">
            <x v="21"/>
          </reference>
        </references>
      </pivotArea>
    </format>
    <format dxfId="853">
      <pivotArea dataOnly="0" labelOnly="1" outline="0" fieldPosition="0">
        <references count="6">
          <reference field="0" count="1" selected="0">
            <x v="44"/>
          </reference>
          <reference field="4" count="1" selected="0">
            <x v="1"/>
          </reference>
          <reference field="5" count="1" selected="0">
            <x v="5"/>
          </reference>
          <reference field="8" count="1" selected="0">
            <x v="3"/>
          </reference>
          <reference field="10" count="1" selected="0">
            <x v="0"/>
          </reference>
          <reference field="12" count="2">
            <x v="13"/>
            <x v="16"/>
          </reference>
        </references>
      </pivotArea>
    </format>
    <format dxfId="852">
      <pivotArea dataOnly="0" labelOnly="1" outline="0" fieldPosition="0">
        <references count="6">
          <reference field="0" count="1" selected="0">
            <x v="49"/>
          </reference>
          <reference field="4" count="1" selected="0">
            <x v="1"/>
          </reference>
          <reference field="5" count="1" selected="0">
            <x v="5"/>
          </reference>
          <reference field="8" count="1" selected="0">
            <x v="7"/>
          </reference>
          <reference field="10" count="1" selected="0">
            <x v="0"/>
          </reference>
          <reference field="12" count="1">
            <x v="15"/>
          </reference>
        </references>
      </pivotArea>
    </format>
    <format dxfId="851">
      <pivotArea dataOnly="0" labelOnly="1" outline="0" fieldPosition="0">
        <references count="6">
          <reference field="0" count="1" selected="0">
            <x v="50"/>
          </reference>
          <reference field="4" count="1" selected="0">
            <x v="1"/>
          </reference>
          <reference field="5" count="1" selected="0">
            <x v="5"/>
          </reference>
          <reference field="8" count="1" selected="0">
            <x v="6"/>
          </reference>
          <reference field="10" count="1" selected="0">
            <x v="0"/>
          </reference>
          <reference field="12" count="1">
            <x v="20"/>
          </reference>
        </references>
      </pivotArea>
    </format>
    <format dxfId="850">
      <pivotArea dataOnly="0" labelOnly="1" outline="0" fieldPosition="0">
        <references count="6">
          <reference field="0" count="1" selected="0">
            <x v="52"/>
          </reference>
          <reference field="4" count="1" selected="0">
            <x v="1"/>
          </reference>
          <reference field="5" count="1" selected="0">
            <x v="6"/>
          </reference>
          <reference field="8" count="1" selected="0">
            <x v="3"/>
          </reference>
          <reference field="10" count="1" selected="0">
            <x v="0"/>
          </reference>
          <reference field="12" count="1">
            <x v="21"/>
          </reference>
        </references>
      </pivotArea>
    </format>
    <format dxfId="849">
      <pivotArea dataOnly="0" labelOnly="1" outline="0" fieldPosition="0">
        <references count="6">
          <reference field="0" count="1" selected="0">
            <x v="53"/>
          </reference>
          <reference field="4" count="1" selected="0">
            <x v="1"/>
          </reference>
          <reference field="5" count="1" selected="0">
            <x v="6"/>
          </reference>
          <reference field="8" count="1" selected="0">
            <x v="6"/>
          </reference>
          <reference field="10" count="1" selected="0">
            <x v="0"/>
          </reference>
          <reference field="12" count="1">
            <x v="15"/>
          </reference>
        </references>
      </pivotArea>
    </format>
    <format dxfId="848">
      <pivotArea dataOnly="0" labelOnly="1" outline="0" fieldPosition="0">
        <references count="6">
          <reference field="0" count="1" selected="0">
            <x v="58"/>
          </reference>
          <reference field="4" count="1" selected="0">
            <x v="1"/>
          </reference>
          <reference field="5" count="1" selected="0">
            <x v="6"/>
          </reference>
          <reference field="8" count="1" selected="0">
            <x v="3"/>
          </reference>
          <reference field="10" count="1" selected="0">
            <x v="0"/>
          </reference>
          <reference field="12" count="1">
            <x v="24"/>
          </reference>
        </references>
      </pivotArea>
    </format>
    <format dxfId="847">
      <pivotArea dataOnly="0" labelOnly="1" outline="0" fieldPosition="0">
        <references count="6">
          <reference field="0" count="1" selected="0">
            <x v="64"/>
          </reference>
          <reference field="4" count="1" selected="0">
            <x v="1"/>
          </reference>
          <reference field="5" count="1" selected="0">
            <x v="6"/>
          </reference>
          <reference field="8" count="1" selected="0">
            <x v="6"/>
          </reference>
          <reference field="10" count="1" selected="0">
            <x v="0"/>
          </reference>
          <reference field="12" count="1">
            <x v="35"/>
          </reference>
        </references>
      </pivotArea>
    </format>
    <format dxfId="846">
      <pivotArea dataOnly="0" labelOnly="1" outline="0" fieldPosition="0">
        <references count="6">
          <reference field="0" count="1" selected="0">
            <x v="65"/>
          </reference>
          <reference field="4" count="1" selected="0">
            <x v="1"/>
          </reference>
          <reference field="5" count="1" selected="0">
            <x v="6"/>
          </reference>
          <reference field="8" count="1" selected="0">
            <x v="7"/>
          </reference>
          <reference field="10" count="1" selected="0">
            <x v="0"/>
          </reference>
          <reference field="12" count="2">
            <x v="0"/>
            <x v="1"/>
          </reference>
        </references>
      </pivotArea>
    </format>
    <format dxfId="845">
      <pivotArea dataOnly="0" labelOnly="1" outline="0" fieldPosition="0">
        <references count="6">
          <reference field="0" count="1" selected="0">
            <x v="67"/>
          </reference>
          <reference field="4" count="1" selected="0">
            <x v="0"/>
          </reference>
          <reference field="5" count="1" selected="0">
            <x v="7"/>
          </reference>
          <reference field="8" count="1" selected="0">
            <x v="2"/>
          </reference>
          <reference field="10" count="1" selected="0">
            <x v="0"/>
          </reference>
          <reference field="12" count="1">
            <x v="25"/>
          </reference>
        </references>
      </pivotArea>
    </format>
    <format dxfId="844">
      <pivotArea dataOnly="0" labelOnly="1" outline="0" fieldPosition="0">
        <references count="6">
          <reference field="0" count="1" selected="0">
            <x v="68"/>
          </reference>
          <reference field="4" count="1" selected="0">
            <x v="0"/>
          </reference>
          <reference field="5" count="1" selected="0">
            <x v="7"/>
          </reference>
          <reference field="8" count="1" selected="0">
            <x v="2"/>
          </reference>
          <reference field="10" count="1" selected="0">
            <x v="0"/>
          </reference>
          <reference field="12" count="1">
            <x v="26"/>
          </reference>
        </references>
      </pivotArea>
    </format>
    <format dxfId="843">
      <pivotArea dataOnly="0" labelOnly="1" outline="0" fieldPosition="0">
        <references count="6">
          <reference field="0" count="1" selected="0">
            <x v="69"/>
          </reference>
          <reference field="4" count="1" selected="0">
            <x v="0"/>
          </reference>
          <reference field="5" count="1" selected="0">
            <x v="7"/>
          </reference>
          <reference field="8" count="1" selected="0">
            <x v="2"/>
          </reference>
          <reference field="10" count="1" selected="0">
            <x v="0"/>
          </reference>
          <reference field="12" count="1">
            <x v="25"/>
          </reference>
        </references>
      </pivotArea>
    </format>
    <format dxfId="842">
      <pivotArea dataOnly="0" labelOnly="1" outline="0" fieldPosition="0">
        <references count="6">
          <reference field="0" count="1" selected="0">
            <x v="70"/>
          </reference>
          <reference field="4" count="1" selected="0">
            <x v="0"/>
          </reference>
          <reference field="5" count="1" selected="0">
            <x v="8"/>
          </reference>
          <reference field="8" count="1" selected="0">
            <x v="2"/>
          </reference>
          <reference field="10" count="1" selected="0">
            <x v="0"/>
          </reference>
          <reference field="12" count="1">
            <x v="8"/>
          </reference>
        </references>
      </pivotArea>
    </format>
    <format dxfId="841">
      <pivotArea dataOnly="0" labelOnly="1" outline="0" fieldPosition="0">
        <references count="6">
          <reference field="0" count="1" selected="0">
            <x v="71"/>
          </reference>
          <reference field="4" count="1" selected="0">
            <x v="0"/>
          </reference>
          <reference field="5" count="1" selected="0">
            <x v="8"/>
          </reference>
          <reference field="8" count="1" selected="0">
            <x v="2"/>
          </reference>
          <reference field="10" count="1" selected="0">
            <x v="0"/>
          </reference>
          <reference field="12" count="1">
            <x v="20"/>
          </reference>
        </references>
      </pivotArea>
    </format>
    <format dxfId="840">
      <pivotArea dataOnly="0" labelOnly="1" outline="0" fieldPosition="0">
        <references count="6">
          <reference field="0" count="1" selected="0">
            <x v="72"/>
          </reference>
          <reference field="4" count="1" selected="0">
            <x v="0"/>
          </reference>
          <reference field="5" count="1" selected="0">
            <x v="8"/>
          </reference>
          <reference field="8" count="1" selected="0">
            <x v="2"/>
          </reference>
          <reference field="10" count="1" selected="0">
            <x v="0"/>
          </reference>
          <reference field="12" count="1">
            <x v="27"/>
          </reference>
        </references>
      </pivotArea>
    </format>
    <format dxfId="839">
      <pivotArea dataOnly="0" labelOnly="1" outline="0" fieldPosition="0">
        <references count="6">
          <reference field="0" count="1" selected="0">
            <x v="0"/>
          </reference>
          <reference field="4" count="1" selected="0">
            <x v="0"/>
          </reference>
          <reference field="5" count="1" selected="0">
            <x v="9"/>
          </reference>
          <reference field="8" count="1" selected="0">
            <x v="2"/>
          </reference>
          <reference field="10" count="1" selected="0">
            <x v="0"/>
          </reference>
          <reference field="12" count="1">
            <x v="28"/>
          </reference>
        </references>
      </pivotArea>
    </format>
    <format dxfId="838">
      <pivotArea dataOnly="0" labelOnly="1" outline="0" fieldPosition="0">
        <references count="6">
          <reference field="0" count="1" selected="0">
            <x v="1"/>
          </reference>
          <reference field="4" count="1" selected="0">
            <x v="0"/>
          </reference>
          <reference field="5" count="1" selected="0">
            <x v="9"/>
          </reference>
          <reference field="8" count="1" selected="0">
            <x v="2"/>
          </reference>
          <reference field="10" count="1" selected="0">
            <x v="0"/>
          </reference>
          <reference field="12" count="1">
            <x v="31"/>
          </reference>
        </references>
      </pivotArea>
    </format>
    <format dxfId="837">
      <pivotArea dataOnly="0" labelOnly="1" outline="0" fieldPosition="0">
        <references count="6">
          <reference field="0" count="1" selected="0">
            <x v="2"/>
          </reference>
          <reference field="4" count="1" selected="0">
            <x v="0"/>
          </reference>
          <reference field="5" count="1" selected="0">
            <x v="9"/>
          </reference>
          <reference field="8" count="1" selected="0">
            <x v="2"/>
          </reference>
          <reference field="10" count="1" selected="0">
            <x v="0"/>
          </reference>
          <reference field="12" count="1">
            <x v="28"/>
          </reference>
        </references>
      </pivotArea>
    </format>
    <format dxfId="836">
      <pivotArea dataOnly="0" labelOnly="1" outline="0" fieldPosition="0">
        <references count="6">
          <reference field="0" count="1" selected="0">
            <x v="3"/>
          </reference>
          <reference field="4" count="1" selected="0">
            <x v="0"/>
          </reference>
          <reference field="5" count="1" selected="0">
            <x v="10"/>
          </reference>
          <reference field="8" count="1" selected="0">
            <x v="2"/>
          </reference>
          <reference field="10" count="1" selected="0">
            <x v="0"/>
          </reference>
          <reference field="12" count="1">
            <x v="29"/>
          </reference>
        </references>
      </pivotArea>
    </format>
    <format dxfId="835">
      <pivotArea dataOnly="0" labelOnly="1" outline="0" fieldPosition="0">
        <references count="6">
          <reference field="0" count="1" selected="0">
            <x v="4"/>
          </reference>
          <reference field="4" count="1" selected="0">
            <x v="0"/>
          </reference>
          <reference field="5" count="1" selected="0">
            <x v="10"/>
          </reference>
          <reference field="8" count="1" selected="0">
            <x v="2"/>
          </reference>
          <reference field="10" count="1" selected="0">
            <x v="0"/>
          </reference>
          <reference field="12" count="1">
            <x v="32"/>
          </reference>
        </references>
      </pivotArea>
    </format>
    <format dxfId="834">
      <pivotArea dataOnly="0" labelOnly="1" outline="0" fieldPosition="0">
        <references count="6">
          <reference field="0" count="1" selected="0">
            <x v="5"/>
          </reference>
          <reference field="4" count="1" selected="0">
            <x v="0"/>
          </reference>
          <reference field="5" count="1" selected="0">
            <x v="10"/>
          </reference>
          <reference field="8" count="1" selected="0">
            <x v="2"/>
          </reference>
          <reference field="10" count="1" selected="0">
            <x v="0"/>
          </reference>
          <reference field="12" count="1">
            <x v="29"/>
          </reference>
        </references>
      </pivotArea>
    </format>
    <format dxfId="833">
      <pivotArea dataOnly="0" labelOnly="1" outline="0" fieldPosition="0">
        <references count="6">
          <reference field="0" count="1" selected="0">
            <x v="6"/>
          </reference>
          <reference field="4" count="1" selected="0">
            <x v="0"/>
          </reference>
          <reference field="5" count="1" selected="0">
            <x v="11"/>
          </reference>
          <reference field="8" count="1" selected="0">
            <x v="2"/>
          </reference>
          <reference field="10" count="1" selected="0">
            <x v="0"/>
          </reference>
          <reference field="12" count="1">
            <x v="30"/>
          </reference>
        </references>
      </pivotArea>
    </format>
    <format dxfId="832">
      <pivotArea dataOnly="0" labelOnly="1" outline="0" fieldPosition="0">
        <references count="6">
          <reference field="0" count="1" selected="0">
            <x v="7"/>
          </reference>
          <reference field="4" count="1" selected="0">
            <x v="0"/>
          </reference>
          <reference field="5" count="1" selected="0">
            <x v="11"/>
          </reference>
          <reference field="8" count="1" selected="0">
            <x v="2"/>
          </reference>
          <reference field="10" count="1" selected="0">
            <x v="0"/>
          </reference>
          <reference field="12" count="1">
            <x v="32"/>
          </reference>
        </references>
      </pivotArea>
    </format>
    <format dxfId="831">
      <pivotArea dataOnly="0" labelOnly="1" outline="0" fieldPosition="0">
        <references count="6">
          <reference field="0" count="1" selected="0">
            <x v="8"/>
          </reference>
          <reference field="4" count="1" selected="0">
            <x v="0"/>
          </reference>
          <reference field="5" count="1" selected="0">
            <x v="11"/>
          </reference>
          <reference field="8" count="1" selected="0">
            <x v="2"/>
          </reference>
          <reference field="10" count="1" selected="0">
            <x v="0"/>
          </reference>
          <reference field="12" count="1">
            <x v="30"/>
          </reference>
        </references>
      </pivotArea>
    </format>
    <format dxfId="830">
      <pivotArea dataOnly="0" labelOnly="1" outline="0" fieldPosition="0">
        <references count="7">
          <reference field="0" count="1" selected="0">
            <x v="9"/>
          </reference>
          <reference field="4" count="1" selected="0">
            <x v="2"/>
          </reference>
          <reference field="5" count="1" selected="0">
            <x v="0"/>
          </reference>
          <reference field="8" count="1" selected="0">
            <x v="6"/>
          </reference>
          <reference field="10" count="1" selected="0">
            <x v="0"/>
          </reference>
          <reference field="11" count="1">
            <x v="4"/>
          </reference>
          <reference field="12" count="1" selected="0">
            <x v="16"/>
          </reference>
        </references>
      </pivotArea>
    </format>
    <format dxfId="829">
      <pivotArea dataOnly="0" labelOnly="1" outline="0" fieldPosition="0">
        <references count="7">
          <reference field="0" count="1" selected="0">
            <x v="12"/>
          </reference>
          <reference field="4" count="1" selected="0">
            <x v="2"/>
          </reference>
          <reference field="5" count="1" selected="0">
            <x v="0"/>
          </reference>
          <reference field="8" count="1" selected="0">
            <x v="7"/>
          </reference>
          <reference field="10" count="1" selected="0">
            <x v="0"/>
          </reference>
          <reference field="11" count="1">
            <x v="0"/>
          </reference>
          <reference field="12" count="1" selected="0">
            <x v="5"/>
          </reference>
        </references>
      </pivotArea>
    </format>
    <format dxfId="828">
      <pivotArea dataOnly="0" labelOnly="1" outline="0" fieldPosition="0">
        <references count="7">
          <reference field="0" count="1" selected="0">
            <x v="13"/>
          </reference>
          <reference field="4" count="1" selected="0">
            <x v="2"/>
          </reference>
          <reference field="5" count="1" selected="0">
            <x v="0"/>
          </reference>
          <reference field="8" count="1" selected="0">
            <x v="7"/>
          </reference>
          <reference field="10" count="1" selected="0">
            <x v="0"/>
          </reference>
          <reference field="11" count="1">
            <x v="1"/>
          </reference>
          <reference field="12" count="1" selected="0">
            <x v="18"/>
          </reference>
        </references>
      </pivotArea>
    </format>
    <format dxfId="827">
      <pivotArea dataOnly="0" labelOnly="1" outline="0" fieldPosition="0">
        <references count="7">
          <reference field="0" count="1" selected="0">
            <x v="14"/>
          </reference>
          <reference field="4" count="1" selected="0">
            <x v="2"/>
          </reference>
          <reference field="5" count="1" selected="0">
            <x v="0"/>
          </reference>
          <reference field="8" count="1" selected="0">
            <x v="5"/>
          </reference>
          <reference field="10" count="1" selected="0">
            <x v="2"/>
          </reference>
          <reference field="11" count="1">
            <x v="7"/>
          </reference>
          <reference field="12" count="1" selected="0">
            <x v="34"/>
          </reference>
        </references>
      </pivotArea>
    </format>
    <format dxfId="826">
      <pivotArea dataOnly="0" labelOnly="1" outline="0" fieldPosition="0">
        <references count="7">
          <reference field="0" count="1" selected="0">
            <x v="15"/>
          </reference>
          <reference field="4" count="1" selected="0">
            <x v="2"/>
          </reference>
          <reference field="5" count="1" selected="0">
            <x v="1"/>
          </reference>
          <reference field="8" count="1" selected="0">
            <x v="1"/>
          </reference>
          <reference field="10" count="1" selected="0">
            <x v="0"/>
          </reference>
          <reference field="11" count="1">
            <x v="7"/>
          </reference>
          <reference field="12" count="1" selected="0">
            <x v="33"/>
          </reference>
        </references>
      </pivotArea>
    </format>
    <format dxfId="825">
      <pivotArea dataOnly="0" labelOnly="1" outline="0" fieldPosition="0">
        <references count="7">
          <reference field="0" count="1" selected="0">
            <x v="21"/>
          </reference>
          <reference field="4" count="1" selected="0">
            <x v="2"/>
          </reference>
          <reference field="5" count="1" selected="0">
            <x v="2"/>
          </reference>
          <reference field="8" count="1" selected="0">
            <x v="6"/>
          </reference>
          <reference field="10" count="1" selected="0">
            <x v="0"/>
          </reference>
          <reference field="11" count="1">
            <x v="2"/>
          </reference>
          <reference field="12" count="1" selected="0">
            <x v="13"/>
          </reference>
        </references>
      </pivotArea>
    </format>
    <format dxfId="824">
      <pivotArea dataOnly="0" labelOnly="1" outline="0" fieldPosition="0">
        <references count="7">
          <reference field="0" count="1" selected="0">
            <x v="22"/>
          </reference>
          <reference field="4" count="1" selected="0">
            <x v="2"/>
          </reference>
          <reference field="5" count="1" selected="0">
            <x v="2"/>
          </reference>
          <reference field="8" count="1" selected="0">
            <x v="6"/>
          </reference>
          <reference field="10" count="1" selected="0">
            <x v="0"/>
          </reference>
          <reference field="11" count="1">
            <x v="4"/>
          </reference>
          <reference field="12" count="1" selected="0">
            <x v="17"/>
          </reference>
        </references>
      </pivotArea>
    </format>
    <format dxfId="823">
      <pivotArea dataOnly="0" labelOnly="1" outline="0" fieldPosition="0">
        <references count="7">
          <reference field="0" count="1" selected="0">
            <x v="24"/>
          </reference>
          <reference field="4" count="1" selected="0">
            <x v="2"/>
          </reference>
          <reference field="5" count="1" selected="0">
            <x v="2"/>
          </reference>
          <reference field="8" count="1" selected="0">
            <x v="7"/>
          </reference>
          <reference field="10" count="1" selected="0">
            <x v="0"/>
          </reference>
          <reference field="11" count="1">
            <x v="0"/>
          </reference>
          <reference field="12" count="1" selected="0">
            <x v="0"/>
          </reference>
        </references>
      </pivotArea>
    </format>
    <format dxfId="822">
      <pivotArea dataOnly="0" labelOnly="1" outline="0" fieldPosition="0">
        <references count="7">
          <reference field="0" count="1" selected="0">
            <x v="25"/>
          </reference>
          <reference field="4" count="1" selected="0">
            <x v="2"/>
          </reference>
          <reference field="5" count="1" selected="0">
            <x v="2"/>
          </reference>
          <reference field="8" count="1" selected="0">
            <x v="7"/>
          </reference>
          <reference field="10" count="1" selected="0">
            <x v="0"/>
          </reference>
          <reference field="11" count="1">
            <x v="1"/>
          </reference>
          <reference field="12" count="1" selected="0">
            <x v="18"/>
          </reference>
        </references>
      </pivotArea>
    </format>
    <format dxfId="821">
      <pivotArea dataOnly="0" labelOnly="1" outline="0" fieldPosition="0">
        <references count="7">
          <reference field="0" count="1" selected="0">
            <x v="26"/>
          </reference>
          <reference field="4" count="1" selected="0">
            <x v="2"/>
          </reference>
          <reference field="5" count="1" selected="0">
            <x v="2"/>
          </reference>
          <reference field="8" count="1" selected="0">
            <x v="5"/>
          </reference>
          <reference field="10" count="1" selected="0">
            <x v="2"/>
          </reference>
          <reference field="11" count="1">
            <x v="7"/>
          </reference>
          <reference field="12" count="1" selected="0">
            <x v="34"/>
          </reference>
        </references>
      </pivotArea>
    </format>
    <format dxfId="820">
      <pivotArea dataOnly="0" labelOnly="1" outline="0" fieldPosition="0">
        <references count="7">
          <reference field="0" count="1" selected="0">
            <x v="27"/>
          </reference>
          <reference field="4" count="1" selected="0">
            <x v="2"/>
          </reference>
          <reference field="5" count="1" selected="0">
            <x v="3"/>
          </reference>
          <reference field="8" count="1" selected="0">
            <x v="7"/>
          </reference>
          <reference field="10" count="1" selected="0">
            <x v="0"/>
          </reference>
          <reference field="11" count="1">
            <x v="6"/>
          </reference>
          <reference field="12" count="1" selected="0">
            <x v="6"/>
          </reference>
        </references>
      </pivotArea>
    </format>
    <format dxfId="819">
      <pivotArea dataOnly="0" labelOnly="1" outline="0" fieldPosition="0">
        <references count="7">
          <reference field="0" count="1" selected="0">
            <x v="29"/>
          </reference>
          <reference field="4" count="1" selected="0">
            <x v="2"/>
          </reference>
          <reference field="5" count="1" selected="0">
            <x v="3"/>
          </reference>
          <reference field="8" count="1" selected="0">
            <x v="3"/>
          </reference>
          <reference field="10" count="1" selected="0">
            <x v="0"/>
          </reference>
          <reference field="11" count="1">
            <x v="4"/>
          </reference>
          <reference field="12" count="1" selected="0">
            <x v="11"/>
          </reference>
        </references>
      </pivotArea>
    </format>
    <format dxfId="818">
      <pivotArea dataOnly="0" labelOnly="1" outline="0" fieldPosition="0">
        <references count="7">
          <reference field="0" count="1" selected="0">
            <x v="30"/>
          </reference>
          <reference field="4" count="1" selected="0">
            <x v="2"/>
          </reference>
          <reference field="5" count="1" selected="0">
            <x v="3"/>
          </reference>
          <reference field="8" count="1" selected="0">
            <x v="4"/>
          </reference>
          <reference field="10" count="1" selected="0">
            <x v="1"/>
          </reference>
          <reference field="11" count="1">
            <x v="0"/>
          </reference>
          <reference field="12" count="1" selected="0">
            <x v="5"/>
          </reference>
        </references>
      </pivotArea>
    </format>
    <format dxfId="817">
      <pivotArea dataOnly="0" labelOnly="1" outline="0" fieldPosition="0">
        <references count="7">
          <reference field="0" count="1" selected="0">
            <x v="31"/>
          </reference>
          <reference field="4" count="1" selected="0">
            <x v="2"/>
          </reference>
          <reference field="5" count="1" selected="0">
            <x v="3"/>
          </reference>
          <reference field="8" count="1" selected="0">
            <x v="0"/>
          </reference>
          <reference field="10" count="1" selected="0">
            <x v="0"/>
          </reference>
          <reference field="11" count="1">
            <x v="6"/>
          </reference>
          <reference field="12" count="1" selected="0">
            <x v="9"/>
          </reference>
        </references>
      </pivotArea>
    </format>
    <format dxfId="816">
      <pivotArea dataOnly="0" labelOnly="1" outline="0" fieldPosition="0">
        <references count="7">
          <reference field="0" count="1" selected="0">
            <x v="35"/>
          </reference>
          <reference field="4" count="1" selected="0">
            <x v="1"/>
          </reference>
          <reference field="5" count="1" selected="0">
            <x v="4"/>
          </reference>
          <reference field="8" count="1" selected="0">
            <x v="3"/>
          </reference>
          <reference field="10" count="1" selected="0">
            <x v="1"/>
          </reference>
          <reference field="11" count="1">
            <x v="4"/>
          </reference>
          <reference field="12" count="1" selected="0">
            <x v="4"/>
          </reference>
        </references>
      </pivotArea>
    </format>
    <format dxfId="815">
      <pivotArea dataOnly="0" labelOnly="1" outline="0" fieldPosition="0">
        <references count="7">
          <reference field="0" count="1" selected="0">
            <x v="37"/>
          </reference>
          <reference field="4" count="1" selected="0">
            <x v="1"/>
          </reference>
          <reference field="5" count="1" selected="0">
            <x v="4"/>
          </reference>
          <reference field="8" count="1" selected="0">
            <x v="5"/>
          </reference>
          <reference field="10" count="1" selected="0">
            <x v="2"/>
          </reference>
          <reference field="11" count="1">
            <x v="7"/>
          </reference>
          <reference field="12" count="1" selected="0">
            <x v="34"/>
          </reference>
        </references>
      </pivotArea>
    </format>
    <format dxfId="814">
      <pivotArea dataOnly="0" labelOnly="1" outline="0" fieldPosition="0">
        <references count="7">
          <reference field="0" count="1" selected="0">
            <x v="38"/>
          </reference>
          <reference field="4" count="1" selected="0">
            <x v="1"/>
          </reference>
          <reference field="5" count="1" selected="0">
            <x v="4"/>
          </reference>
          <reference field="8" count="1" selected="0">
            <x v="4"/>
          </reference>
          <reference field="10" count="1" selected="0">
            <x v="1"/>
          </reference>
          <reference field="11" count="1">
            <x v="0"/>
          </reference>
          <reference field="12" count="1" selected="0">
            <x v="0"/>
          </reference>
        </references>
      </pivotArea>
    </format>
    <format dxfId="813">
      <pivotArea dataOnly="0" labelOnly="1" outline="0" fieldPosition="0">
        <references count="7">
          <reference field="0" count="1" selected="0">
            <x v="39"/>
          </reference>
          <reference field="4" count="1" selected="0">
            <x v="1"/>
          </reference>
          <reference field="5" count="1" selected="0">
            <x v="5"/>
          </reference>
          <reference field="8" count="1" selected="0">
            <x v="6"/>
          </reference>
          <reference field="10" count="1" selected="0">
            <x v="0"/>
          </reference>
          <reference field="11" count="1">
            <x v="1"/>
          </reference>
          <reference field="12" count="1" selected="0">
            <x v="22"/>
          </reference>
        </references>
      </pivotArea>
    </format>
    <format dxfId="812">
      <pivotArea dataOnly="0" labelOnly="1" outline="0" fieldPosition="0">
        <references count="7">
          <reference field="0" count="1" selected="0">
            <x v="40"/>
          </reference>
          <reference field="4" count="1" selected="0">
            <x v="1"/>
          </reference>
          <reference field="5" count="1" selected="0">
            <x v="5"/>
          </reference>
          <reference field="8" count="1" selected="0">
            <x v="3"/>
          </reference>
          <reference field="10" count="1" selected="0">
            <x v="0"/>
          </reference>
          <reference field="11" count="1">
            <x v="6"/>
          </reference>
          <reference field="12" count="1" selected="0">
            <x v="12"/>
          </reference>
        </references>
      </pivotArea>
    </format>
    <format dxfId="811">
      <pivotArea dataOnly="0" labelOnly="1" outline="0" fieldPosition="0">
        <references count="7">
          <reference field="0" count="1" selected="0">
            <x v="43"/>
          </reference>
          <reference field="4" count="1" selected="0">
            <x v="1"/>
          </reference>
          <reference field="5" count="1" selected="0">
            <x v="5"/>
          </reference>
          <reference field="8" count="1" selected="0">
            <x v="3"/>
          </reference>
          <reference field="10" count="1" selected="0">
            <x v="0"/>
          </reference>
          <reference field="11" count="1">
            <x v="4"/>
          </reference>
          <reference field="12" count="1" selected="0">
            <x v="21"/>
          </reference>
        </references>
      </pivotArea>
    </format>
    <format dxfId="810">
      <pivotArea dataOnly="0" labelOnly="1" outline="0" fieldPosition="0">
        <references count="7">
          <reference field="0" count="1" selected="0">
            <x v="44"/>
          </reference>
          <reference field="4" count="1" selected="0">
            <x v="1"/>
          </reference>
          <reference field="5" count="1" selected="0">
            <x v="5"/>
          </reference>
          <reference field="8" count="1" selected="0">
            <x v="3"/>
          </reference>
          <reference field="10" count="1" selected="0">
            <x v="0"/>
          </reference>
          <reference field="11" count="1">
            <x v="1"/>
          </reference>
          <reference field="12" count="1" selected="0">
            <x v="13"/>
          </reference>
        </references>
      </pivotArea>
    </format>
    <format dxfId="809">
      <pivotArea dataOnly="0" labelOnly="1" outline="0" fieldPosition="0">
        <references count="7">
          <reference field="0" count="1" selected="0">
            <x v="49"/>
          </reference>
          <reference field="4" count="1" selected="0">
            <x v="1"/>
          </reference>
          <reference field="5" count="1" selected="0">
            <x v="5"/>
          </reference>
          <reference field="8" count="1" selected="0">
            <x v="7"/>
          </reference>
          <reference field="10" count="1" selected="0">
            <x v="0"/>
          </reference>
          <reference field="11" count="1">
            <x v="0"/>
          </reference>
          <reference field="12" count="1" selected="0">
            <x v="15"/>
          </reference>
        </references>
      </pivotArea>
    </format>
    <format dxfId="808">
      <pivotArea dataOnly="0" labelOnly="1" outline="0" fieldPosition="0">
        <references count="7">
          <reference field="0" count="1" selected="0">
            <x v="50"/>
          </reference>
          <reference field="4" count="1" selected="0">
            <x v="1"/>
          </reference>
          <reference field="5" count="1" selected="0">
            <x v="5"/>
          </reference>
          <reference field="8" count="1" selected="0">
            <x v="6"/>
          </reference>
          <reference field="10" count="1" selected="0">
            <x v="0"/>
          </reference>
          <reference field="11" count="1">
            <x v="4"/>
          </reference>
          <reference field="12" count="1" selected="0">
            <x v="20"/>
          </reference>
        </references>
      </pivotArea>
    </format>
    <format dxfId="807">
      <pivotArea dataOnly="0" labelOnly="1" outline="0" fieldPosition="0">
        <references count="7">
          <reference field="0" count="1" selected="0">
            <x v="52"/>
          </reference>
          <reference field="4" count="1" selected="0">
            <x v="1"/>
          </reference>
          <reference field="5" count="1" selected="0">
            <x v="6"/>
          </reference>
          <reference field="8" count="1" selected="0">
            <x v="3"/>
          </reference>
          <reference field="10" count="1" selected="0">
            <x v="0"/>
          </reference>
          <reference field="11" count="1">
            <x v="4"/>
          </reference>
          <reference field="12" count="1" selected="0">
            <x v="21"/>
          </reference>
        </references>
      </pivotArea>
    </format>
    <format dxfId="806">
      <pivotArea dataOnly="0" labelOnly="1" outline="0" fieldPosition="0">
        <references count="7">
          <reference field="0" count="1" selected="0">
            <x v="53"/>
          </reference>
          <reference field="4" count="1" selected="0">
            <x v="1"/>
          </reference>
          <reference field="5" count="1" selected="0">
            <x v="6"/>
          </reference>
          <reference field="8" count="1" selected="0">
            <x v="6"/>
          </reference>
          <reference field="10" count="1" selected="0">
            <x v="0"/>
          </reference>
          <reference field="11" count="1">
            <x v="0"/>
          </reference>
          <reference field="12" count="1" selected="0">
            <x v="15"/>
          </reference>
        </references>
      </pivotArea>
    </format>
    <format dxfId="805">
      <pivotArea dataOnly="0" labelOnly="1" outline="0" fieldPosition="0">
        <references count="7">
          <reference field="0" count="1" selected="0">
            <x v="58"/>
          </reference>
          <reference field="4" count="1" selected="0">
            <x v="1"/>
          </reference>
          <reference field="5" count="1" selected="0">
            <x v="6"/>
          </reference>
          <reference field="8" count="1" selected="0">
            <x v="3"/>
          </reference>
          <reference field="10" count="1" selected="0">
            <x v="0"/>
          </reference>
          <reference field="11" count="1">
            <x v="4"/>
          </reference>
          <reference field="12" count="1" selected="0">
            <x v="24"/>
          </reference>
        </references>
      </pivotArea>
    </format>
    <format dxfId="804">
      <pivotArea dataOnly="0" labelOnly="1" outline="0" fieldPosition="0">
        <references count="7">
          <reference field="0" count="1" selected="0">
            <x v="64"/>
          </reference>
          <reference field="4" count="1" selected="0">
            <x v="1"/>
          </reference>
          <reference field="5" count="1" selected="0">
            <x v="6"/>
          </reference>
          <reference field="8" count="1" selected="0">
            <x v="6"/>
          </reference>
          <reference field="10" count="1" selected="0">
            <x v="0"/>
          </reference>
          <reference field="11" count="1">
            <x v="5"/>
          </reference>
          <reference field="12" count="1" selected="0">
            <x v="35"/>
          </reference>
        </references>
      </pivotArea>
    </format>
    <format dxfId="803">
      <pivotArea dataOnly="0" labelOnly="1" outline="0" fieldPosition="0">
        <references count="7">
          <reference field="0" count="1" selected="0">
            <x v="65"/>
          </reference>
          <reference field="4" count="1" selected="0">
            <x v="1"/>
          </reference>
          <reference field="5" count="1" selected="0">
            <x v="6"/>
          </reference>
          <reference field="8" count="1" selected="0">
            <x v="7"/>
          </reference>
          <reference field="10" count="1" selected="0">
            <x v="0"/>
          </reference>
          <reference field="11" count="1">
            <x v="0"/>
          </reference>
          <reference field="12" count="1" selected="0">
            <x v="0"/>
          </reference>
        </references>
      </pivotArea>
    </format>
    <format dxfId="802">
      <pivotArea dataOnly="0" labelOnly="1" outline="0" fieldPosition="0">
        <references count="7">
          <reference field="0" count="1" selected="0">
            <x v="67"/>
          </reference>
          <reference field="4" count="1" selected="0">
            <x v="0"/>
          </reference>
          <reference field="5" count="1" selected="0">
            <x v="7"/>
          </reference>
          <reference field="8" count="1" selected="0">
            <x v="2"/>
          </reference>
          <reference field="10" count="1" selected="0">
            <x v="0"/>
          </reference>
          <reference field="11" count="1">
            <x v="0"/>
          </reference>
          <reference field="12" count="1" selected="0">
            <x v="25"/>
          </reference>
        </references>
      </pivotArea>
    </format>
    <format dxfId="801">
      <pivotArea dataOnly="0" labelOnly="1" outline="0" fieldPosition="0">
        <references count="7">
          <reference field="0" count="1" selected="0">
            <x v="68"/>
          </reference>
          <reference field="4" count="1" selected="0">
            <x v="0"/>
          </reference>
          <reference field="5" count="1" selected="0">
            <x v="7"/>
          </reference>
          <reference field="8" count="1" selected="0">
            <x v="2"/>
          </reference>
          <reference field="10" count="1" selected="0">
            <x v="0"/>
          </reference>
          <reference field="11" count="1">
            <x v="1"/>
          </reference>
          <reference field="12" count="1" selected="0">
            <x v="26"/>
          </reference>
        </references>
      </pivotArea>
    </format>
    <format dxfId="800">
      <pivotArea dataOnly="0" labelOnly="1" outline="0" fieldPosition="0">
        <references count="7">
          <reference field="0" count="1" selected="0">
            <x v="69"/>
          </reference>
          <reference field="4" count="1" selected="0">
            <x v="0"/>
          </reference>
          <reference field="5" count="1" selected="0">
            <x v="7"/>
          </reference>
          <reference field="8" count="1" selected="0">
            <x v="2"/>
          </reference>
          <reference field="10" count="1" selected="0">
            <x v="0"/>
          </reference>
          <reference field="11" count="1">
            <x v="0"/>
          </reference>
          <reference field="12" count="1" selected="0">
            <x v="25"/>
          </reference>
        </references>
      </pivotArea>
    </format>
    <format dxfId="799">
      <pivotArea dataOnly="0" labelOnly="1" outline="0" fieldPosition="0">
        <references count="7">
          <reference field="0" count="1" selected="0">
            <x v="70"/>
          </reference>
          <reference field="4" count="1" selected="0">
            <x v="0"/>
          </reference>
          <reference field="5" count="1" selected="0">
            <x v="8"/>
          </reference>
          <reference field="8" count="1" selected="0">
            <x v="2"/>
          </reference>
          <reference field="10" count="1" selected="0">
            <x v="0"/>
          </reference>
          <reference field="11" count="1">
            <x v="0"/>
          </reference>
          <reference field="12" count="1" selected="0">
            <x v="8"/>
          </reference>
        </references>
      </pivotArea>
    </format>
    <format dxfId="798">
      <pivotArea dataOnly="0" labelOnly="1" outline="0" fieldPosition="0">
        <references count="7">
          <reference field="0" count="1" selected="0">
            <x v="71"/>
          </reference>
          <reference field="4" count="1" selected="0">
            <x v="0"/>
          </reference>
          <reference field="5" count="1" selected="0">
            <x v="8"/>
          </reference>
          <reference field="8" count="1" selected="0">
            <x v="2"/>
          </reference>
          <reference field="10" count="1" selected="0">
            <x v="0"/>
          </reference>
          <reference field="11" count="1">
            <x v="5"/>
          </reference>
          <reference field="12" count="1" selected="0">
            <x v="20"/>
          </reference>
        </references>
      </pivotArea>
    </format>
    <format dxfId="797">
      <pivotArea dataOnly="0" labelOnly="1" outline="0" fieldPosition="0">
        <references count="7">
          <reference field="0" count="1" selected="0">
            <x v="72"/>
          </reference>
          <reference field="4" count="1" selected="0">
            <x v="0"/>
          </reference>
          <reference field="5" count="1" selected="0">
            <x v="8"/>
          </reference>
          <reference field="8" count="1" selected="0">
            <x v="2"/>
          </reference>
          <reference field="10" count="1" selected="0">
            <x v="0"/>
          </reference>
          <reference field="11" count="1">
            <x v="0"/>
          </reference>
          <reference field="12" count="1" selected="0">
            <x v="27"/>
          </reference>
        </references>
      </pivotArea>
    </format>
    <format dxfId="796">
      <pivotArea dataOnly="0" labelOnly="1" outline="0" fieldPosition="0">
        <references count="7">
          <reference field="0" count="1" selected="0">
            <x v="0"/>
          </reference>
          <reference field="4" count="1" selected="0">
            <x v="0"/>
          </reference>
          <reference field="5" count="1" selected="0">
            <x v="9"/>
          </reference>
          <reference field="8" count="1" selected="0">
            <x v="2"/>
          </reference>
          <reference field="10" count="1" selected="0">
            <x v="0"/>
          </reference>
          <reference field="11" count="1">
            <x v="0"/>
          </reference>
          <reference field="12" count="1" selected="0">
            <x v="28"/>
          </reference>
        </references>
      </pivotArea>
    </format>
    <format dxfId="795">
      <pivotArea dataOnly="0" labelOnly="1" outline="0" fieldPosition="0">
        <references count="7">
          <reference field="0" count="1" selected="0">
            <x v="1"/>
          </reference>
          <reference field="4" count="1" selected="0">
            <x v="0"/>
          </reference>
          <reference field="5" count="1" selected="0">
            <x v="9"/>
          </reference>
          <reference field="8" count="1" selected="0">
            <x v="2"/>
          </reference>
          <reference field="10" count="1" selected="0">
            <x v="0"/>
          </reference>
          <reference field="11" count="1">
            <x v="5"/>
          </reference>
          <reference field="12" count="1" selected="0">
            <x v="31"/>
          </reference>
        </references>
      </pivotArea>
    </format>
    <format dxfId="794">
      <pivotArea dataOnly="0" labelOnly="1" outline="0" fieldPosition="0">
        <references count="7">
          <reference field="0" count="1" selected="0">
            <x v="2"/>
          </reference>
          <reference field="4" count="1" selected="0">
            <x v="0"/>
          </reference>
          <reference field="5" count="1" selected="0">
            <x v="9"/>
          </reference>
          <reference field="8" count="1" selected="0">
            <x v="2"/>
          </reference>
          <reference field="10" count="1" selected="0">
            <x v="0"/>
          </reference>
          <reference field="11" count="1">
            <x v="0"/>
          </reference>
          <reference field="12" count="1" selected="0">
            <x v="28"/>
          </reference>
        </references>
      </pivotArea>
    </format>
    <format dxfId="793">
      <pivotArea dataOnly="0" labelOnly="1" outline="0" fieldPosition="0">
        <references count="7">
          <reference field="0" count="1" selected="0">
            <x v="3"/>
          </reference>
          <reference field="4" count="1" selected="0">
            <x v="0"/>
          </reference>
          <reference field="5" count="1" selected="0">
            <x v="10"/>
          </reference>
          <reference field="8" count="1" selected="0">
            <x v="2"/>
          </reference>
          <reference field="10" count="1" selected="0">
            <x v="0"/>
          </reference>
          <reference field="11" count="1">
            <x v="3"/>
          </reference>
          <reference field="12" count="1" selected="0">
            <x v="29"/>
          </reference>
        </references>
      </pivotArea>
    </format>
    <format dxfId="792">
      <pivotArea dataOnly="0" labelOnly="1" outline="0" fieldPosition="0">
        <references count="7">
          <reference field="0" count="1" selected="0">
            <x v="4"/>
          </reference>
          <reference field="4" count="1" selected="0">
            <x v="0"/>
          </reference>
          <reference field="5" count="1" selected="0">
            <x v="10"/>
          </reference>
          <reference field="8" count="1" selected="0">
            <x v="2"/>
          </reference>
          <reference field="10" count="1" selected="0">
            <x v="0"/>
          </reference>
          <reference field="11" count="1">
            <x v="5"/>
          </reference>
          <reference field="12" count="1" selected="0">
            <x v="32"/>
          </reference>
        </references>
      </pivotArea>
    </format>
    <format dxfId="791">
      <pivotArea dataOnly="0" labelOnly="1" outline="0" fieldPosition="0">
        <references count="7">
          <reference field="0" count="1" selected="0">
            <x v="5"/>
          </reference>
          <reference field="4" count="1" selected="0">
            <x v="0"/>
          </reference>
          <reference field="5" count="1" selected="0">
            <x v="10"/>
          </reference>
          <reference field="8" count="1" selected="0">
            <x v="2"/>
          </reference>
          <reference field="10" count="1" selected="0">
            <x v="0"/>
          </reference>
          <reference field="11" count="1">
            <x v="3"/>
          </reference>
          <reference field="12" count="1" selected="0">
            <x v="29"/>
          </reference>
        </references>
      </pivotArea>
    </format>
    <format dxfId="790">
      <pivotArea dataOnly="0" labelOnly="1" outline="0" fieldPosition="0">
        <references count="7">
          <reference field="0" count="1" selected="0">
            <x v="6"/>
          </reference>
          <reference field="4" count="1" selected="0">
            <x v="0"/>
          </reference>
          <reference field="5" count="1" selected="0">
            <x v="11"/>
          </reference>
          <reference field="8" count="1" selected="0">
            <x v="2"/>
          </reference>
          <reference field="10" count="1" selected="0">
            <x v="0"/>
          </reference>
          <reference field="11" count="1">
            <x v="3"/>
          </reference>
          <reference field="12" count="1" selected="0">
            <x v="30"/>
          </reference>
        </references>
      </pivotArea>
    </format>
    <format dxfId="789">
      <pivotArea dataOnly="0" labelOnly="1" outline="0" fieldPosition="0">
        <references count="7">
          <reference field="0" count="1" selected="0">
            <x v="7"/>
          </reference>
          <reference field="4" count="1" selected="0">
            <x v="0"/>
          </reference>
          <reference field="5" count="1" selected="0">
            <x v="11"/>
          </reference>
          <reference field="8" count="1" selected="0">
            <x v="2"/>
          </reference>
          <reference field="10" count="1" selected="0">
            <x v="0"/>
          </reference>
          <reference field="11" count="1">
            <x v="5"/>
          </reference>
          <reference field="12" count="1" selected="0">
            <x v="32"/>
          </reference>
        </references>
      </pivotArea>
    </format>
    <format dxfId="788">
      <pivotArea dataOnly="0" labelOnly="1" outline="0" fieldPosition="0">
        <references count="7">
          <reference field="0" count="1" selected="0">
            <x v="8"/>
          </reference>
          <reference field="4" count="1" selected="0">
            <x v="0"/>
          </reference>
          <reference field="5" count="1" selected="0">
            <x v="11"/>
          </reference>
          <reference field="8" count="1" selected="0">
            <x v="2"/>
          </reference>
          <reference field="10" count="1" selected="0">
            <x v="0"/>
          </reference>
          <reference field="11" count="1">
            <x v="3"/>
          </reference>
          <reference field="12" count="1" selected="0">
            <x v="30"/>
          </reference>
        </references>
      </pivotArea>
    </format>
    <format dxfId="787">
      <pivotArea dataOnly="0" labelOnly="1" outline="0" fieldPosition="0">
        <references count="8">
          <reference field="0" count="1" selected="0">
            <x v="9"/>
          </reference>
          <reference field="4" count="1" selected="0">
            <x v="2"/>
          </reference>
          <reference field="5" count="1" selected="0">
            <x v="0"/>
          </reference>
          <reference field="8" count="1" selected="0">
            <x v="6"/>
          </reference>
          <reference field="10" count="1" selected="0">
            <x v="0"/>
          </reference>
          <reference field="11" count="1" selected="0">
            <x v="4"/>
          </reference>
          <reference field="12" count="1" selected="0">
            <x v="16"/>
          </reference>
          <reference field="13" count="1">
            <x v="5"/>
          </reference>
        </references>
      </pivotArea>
    </format>
    <format dxfId="786">
      <pivotArea dataOnly="0" labelOnly="1" outline="0" fieldPosition="0">
        <references count="8">
          <reference field="0" count="1" selected="0">
            <x v="10"/>
          </reference>
          <reference field="4" count="1" selected="0">
            <x v="2"/>
          </reference>
          <reference field="5" count="1" selected="0">
            <x v="0"/>
          </reference>
          <reference field="8" count="1" selected="0">
            <x v="6"/>
          </reference>
          <reference field="10" count="1" selected="0">
            <x v="0"/>
          </reference>
          <reference field="11" count="1" selected="0">
            <x v="4"/>
          </reference>
          <reference field="12" count="1" selected="0">
            <x v="14"/>
          </reference>
          <reference field="13" count="1">
            <x v="19"/>
          </reference>
        </references>
      </pivotArea>
    </format>
    <format dxfId="785">
      <pivotArea dataOnly="0" labelOnly="1" outline="0" fieldPosition="0">
        <references count="8">
          <reference field="0" count="1" selected="0">
            <x v="11"/>
          </reference>
          <reference field="4" count="1" selected="0">
            <x v="2"/>
          </reference>
          <reference field="5" count="1" selected="0">
            <x v="0"/>
          </reference>
          <reference field="8" count="1" selected="0">
            <x v="3"/>
          </reference>
          <reference field="10" count="1" selected="0">
            <x v="0"/>
          </reference>
          <reference field="11" count="1" selected="0">
            <x v="4"/>
          </reference>
          <reference field="12" count="1" selected="0">
            <x v="11"/>
          </reference>
          <reference field="13" count="1">
            <x v="21"/>
          </reference>
        </references>
      </pivotArea>
    </format>
    <format dxfId="784">
      <pivotArea dataOnly="0" labelOnly="1" outline="0" fieldPosition="0">
        <references count="8">
          <reference field="0" count="1" selected="0">
            <x v="12"/>
          </reference>
          <reference field="4" count="1" selected="0">
            <x v="2"/>
          </reference>
          <reference field="5" count="1" selected="0">
            <x v="0"/>
          </reference>
          <reference field="8" count="1" selected="0">
            <x v="7"/>
          </reference>
          <reference field="10" count="1" selected="0">
            <x v="0"/>
          </reference>
          <reference field="11" count="1" selected="0">
            <x v="0"/>
          </reference>
          <reference field="12" count="1" selected="0">
            <x v="5"/>
          </reference>
          <reference field="13" count="1">
            <x v="7"/>
          </reference>
        </references>
      </pivotArea>
    </format>
    <format dxfId="783">
      <pivotArea dataOnly="0" labelOnly="1" outline="0" fieldPosition="0">
        <references count="8">
          <reference field="0" count="1" selected="0">
            <x v="12"/>
          </reference>
          <reference field="4" count="1" selected="0">
            <x v="2"/>
          </reference>
          <reference field="5" count="1" selected="0">
            <x v="0"/>
          </reference>
          <reference field="8" count="1" selected="0">
            <x v="7"/>
          </reference>
          <reference field="10" count="1" selected="0">
            <x v="0"/>
          </reference>
          <reference field="11" count="1" selected="0">
            <x v="0"/>
          </reference>
          <reference field="12" count="1" selected="0">
            <x v="8"/>
          </reference>
          <reference field="13" count="1">
            <x v="8"/>
          </reference>
        </references>
      </pivotArea>
    </format>
    <format dxfId="782">
      <pivotArea dataOnly="0" labelOnly="1" outline="0" fieldPosition="0">
        <references count="8">
          <reference field="0" count="1" selected="0">
            <x v="13"/>
          </reference>
          <reference field="4" count="1" selected="0">
            <x v="2"/>
          </reference>
          <reference field="5" count="1" selected="0">
            <x v="0"/>
          </reference>
          <reference field="8" count="1" selected="0">
            <x v="7"/>
          </reference>
          <reference field="10" count="1" selected="0">
            <x v="0"/>
          </reference>
          <reference field="11" count="1" selected="0">
            <x v="0"/>
          </reference>
          <reference field="12" count="1" selected="0">
            <x v="15"/>
          </reference>
          <reference field="13" count="1">
            <x v="34"/>
          </reference>
        </references>
      </pivotArea>
    </format>
    <format dxfId="781">
      <pivotArea dataOnly="0" labelOnly="1" outline="0" fieldPosition="0">
        <references count="8">
          <reference field="0" count="1" selected="0">
            <x v="13"/>
          </reference>
          <reference field="4" count="1" selected="0">
            <x v="2"/>
          </reference>
          <reference field="5" count="1" selected="0">
            <x v="0"/>
          </reference>
          <reference field="8" count="1" selected="0">
            <x v="7"/>
          </reference>
          <reference field="10" count="1" selected="0">
            <x v="0"/>
          </reference>
          <reference field="11" count="1" selected="0">
            <x v="1"/>
          </reference>
          <reference field="12" count="1" selected="0">
            <x v="18"/>
          </reference>
          <reference field="13" count="1">
            <x v="24"/>
          </reference>
        </references>
      </pivotArea>
    </format>
    <format dxfId="780">
      <pivotArea dataOnly="0" labelOnly="1" outline="0" fieldPosition="0">
        <references count="8">
          <reference field="0" count="1" selected="0">
            <x v="14"/>
          </reference>
          <reference field="4" count="1" selected="0">
            <x v="2"/>
          </reference>
          <reference field="5" count="1" selected="0">
            <x v="0"/>
          </reference>
          <reference field="8" count="1" selected="0">
            <x v="5"/>
          </reference>
          <reference field="10" count="1" selected="0">
            <x v="2"/>
          </reference>
          <reference field="11" count="1" selected="0">
            <x v="7"/>
          </reference>
          <reference field="12" count="1" selected="0">
            <x v="34"/>
          </reference>
          <reference field="13" count="1">
            <x v="18"/>
          </reference>
        </references>
      </pivotArea>
    </format>
    <format dxfId="779">
      <pivotArea dataOnly="0" labelOnly="1" outline="0" fieldPosition="0">
        <references count="8">
          <reference field="0" count="1" selected="0">
            <x v="15"/>
          </reference>
          <reference field="4" count="1" selected="0">
            <x v="2"/>
          </reference>
          <reference field="5" count="1" selected="0">
            <x v="1"/>
          </reference>
          <reference field="8" count="1" selected="0">
            <x v="1"/>
          </reference>
          <reference field="10" count="1" selected="0">
            <x v="0"/>
          </reference>
          <reference field="11" count="1" selected="0">
            <x v="7"/>
          </reference>
          <reference field="12" count="1" selected="0">
            <x v="33"/>
          </reference>
          <reference field="13" count="1">
            <x v="2"/>
          </reference>
        </references>
      </pivotArea>
    </format>
    <format dxfId="778">
      <pivotArea dataOnly="0" labelOnly="1" outline="0" fieldPosition="0">
        <references count="8">
          <reference field="0" count="1" selected="0">
            <x v="21"/>
          </reference>
          <reference field="4" count="1" selected="0">
            <x v="2"/>
          </reference>
          <reference field="5" count="1" selected="0">
            <x v="2"/>
          </reference>
          <reference field="8" count="1" selected="0">
            <x v="6"/>
          </reference>
          <reference field="10" count="1" selected="0">
            <x v="0"/>
          </reference>
          <reference field="11" count="1" selected="0">
            <x v="2"/>
          </reference>
          <reference field="12" count="1" selected="0">
            <x v="13"/>
          </reference>
          <reference field="13" count="1">
            <x v="4"/>
          </reference>
        </references>
      </pivotArea>
    </format>
    <format dxfId="777">
      <pivotArea dataOnly="0" labelOnly="1" outline="0" fieldPosition="0">
        <references count="8">
          <reference field="0" count="1" selected="0">
            <x v="22"/>
          </reference>
          <reference field="4" count="1" selected="0">
            <x v="2"/>
          </reference>
          <reference field="5" count="1" selected="0">
            <x v="2"/>
          </reference>
          <reference field="8" count="1" selected="0">
            <x v="6"/>
          </reference>
          <reference field="10" count="1" selected="0">
            <x v="0"/>
          </reference>
          <reference field="11" count="1" selected="0">
            <x v="4"/>
          </reference>
          <reference field="12" count="1" selected="0">
            <x v="17"/>
          </reference>
          <reference field="13" count="1">
            <x v="20"/>
          </reference>
        </references>
      </pivotArea>
    </format>
    <format dxfId="776">
      <pivotArea dataOnly="0" labelOnly="1" outline="0" fieldPosition="0">
        <references count="8">
          <reference field="0" count="1" selected="0">
            <x v="23"/>
          </reference>
          <reference field="4" count="1" selected="0">
            <x v="2"/>
          </reference>
          <reference field="5" count="1" selected="0">
            <x v="2"/>
          </reference>
          <reference field="8" count="1" selected="0">
            <x v="3"/>
          </reference>
          <reference field="10" count="1" selected="0">
            <x v="0"/>
          </reference>
          <reference field="11" count="1" selected="0">
            <x v="4"/>
          </reference>
          <reference field="12" count="1" selected="0">
            <x v="19"/>
          </reference>
          <reference field="13" count="1">
            <x v="22"/>
          </reference>
        </references>
      </pivotArea>
    </format>
    <format dxfId="775">
      <pivotArea dataOnly="0" labelOnly="1" outline="0" fieldPosition="0">
        <references count="8">
          <reference field="0" count="1" selected="0">
            <x v="24"/>
          </reference>
          <reference field="4" count="1" selected="0">
            <x v="2"/>
          </reference>
          <reference field="5" count="1" selected="0">
            <x v="2"/>
          </reference>
          <reference field="8" count="1" selected="0">
            <x v="7"/>
          </reference>
          <reference field="10" count="1" selected="0">
            <x v="0"/>
          </reference>
          <reference field="11" count="1" selected="0">
            <x v="0"/>
          </reference>
          <reference field="12" count="1" selected="0">
            <x v="0"/>
          </reference>
          <reference field="13" count="1">
            <x v="10"/>
          </reference>
        </references>
      </pivotArea>
    </format>
    <format dxfId="774">
      <pivotArea dataOnly="0" labelOnly="1" outline="0" fieldPosition="0">
        <references count="8">
          <reference field="0" count="1" selected="0">
            <x v="24"/>
          </reference>
          <reference field="4" count="1" selected="0">
            <x v="2"/>
          </reference>
          <reference field="5" count="1" selected="0">
            <x v="2"/>
          </reference>
          <reference field="8" count="1" selected="0">
            <x v="7"/>
          </reference>
          <reference field="10" count="1" selected="0">
            <x v="0"/>
          </reference>
          <reference field="11" count="1" selected="0">
            <x v="0"/>
          </reference>
          <reference field="12" count="1" selected="0">
            <x v="1"/>
          </reference>
          <reference field="13" count="1">
            <x v="25"/>
          </reference>
        </references>
      </pivotArea>
    </format>
    <format dxfId="773">
      <pivotArea dataOnly="0" labelOnly="1" outline="0" fieldPosition="0">
        <references count="8">
          <reference field="0" count="1" selected="0">
            <x v="25"/>
          </reference>
          <reference field="4" count="1" selected="0">
            <x v="2"/>
          </reference>
          <reference field="5" count="1" selected="0">
            <x v="2"/>
          </reference>
          <reference field="8" count="1" selected="0">
            <x v="7"/>
          </reference>
          <reference field="10" count="1" selected="0">
            <x v="0"/>
          </reference>
          <reference field="11" count="1" selected="0">
            <x v="0"/>
          </reference>
          <reference field="12" count="1" selected="0">
            <x v="15"/>
          </reference>
          <reference field="13" count="1">
            <x v="34"/>
          </reference>
        </references>
      </pivotArea>
    </format>
    <format dxfId="772">
      <pivotArea dataOnly="0" labelOnly="1" outline="0" fieldPosition="0">
        <references count="8">
          <reference field="0" count="1" selected="0">
            <x v="25"/>
          </reference>
          <reference field="4" count="1" selected="0">
            <x v="2"/>
          </reference>
          <reference field="5" count="1" selected="0">
            <x v="2"/>
          </reference>
          <reference field="8" count="1" selected="0">
            <x v="7"/>
          </reference>
          <reference field="10" count="1" selected="0">
            <x v="0"/>
          </reference>
          <reference field="11" count="1" selected="0">
            <x v="1"/>
          </reference>
          <reference field="12" count="1" selected="0">
            <x v="18"/>
          </reference>
          <reference field="13" count="1">
            <x v="24"/>
          </reference>
        </references>
      </pivotArea>
    </format>
    <format dxfId="771">
      <pivotArea dataOnly="0" labelOnly="1" outline="0" fieldPosition="0">
        <references count="8">
          <reference field="0" count="1" selected="0">
            <x v="26"/>
          </reference>
          <reference field="4" count="1" selected="0">
            <x v="2"/>
          </reference>
          <reference field="5" count="1" selected="0">
            <x v="2"/>
          </reference>
          <reference field="8" count="1" selected="0">
            <x v="5"/>
          </reference>
          <reference field="10" count="1" selected="0">
            <x v="2"/>
          </reference>
          <reference field="11" count="1" selected="0">
            <x v="7"/>
          </reference>
          <reference field="12" count="1" selected="0">
            <x v="34"/>
          </reference>
          <reference field="13" count="1">
            <x v="18"/>
          </reference>
        </references>
      </pivotArea>
    </format>
    <format dxfId="770">
      <pivotArea dataOnly="0" labelOnly="1" outline="0" fieldPosition="0">
        <references count="8">
          <reference field="0" count="1" selected="0">
            <x v="27"/>
          </reference>
          <reference field="4" count="1" selected="0">
            <x v="2"/>
          </reference>
          <reference field="5" count="1" selected="0">
            <x v="3"/>
          </reference>
          <reference field="8" count="1" selected="0">
            <x v="7"/>
          </reference>
          <reference field="10" count="1" selected="0">
            <x v="0"/>
          </reference>
          <reference field="11" count="1" selected="0">
            <x v="6"/>
          </reference>
          <reference field="12" count="1" selected="0">
            <x v="6"/>
          </reference>
          <reference field="13" count="1">
            <x v="33"/>
          </reference>
        </references>
      </pivotArea>
    </format>
    <format dxfId="769">
      <pivotArea dataOnly="0" labelOnly="1" outline="0" fieldPosition="0">
        <references count="8">
          <reference field="0" count="1" selected="0">
            <x v="28"/>
          </reference>
          <reference field="4" count="1" selected="0">
            <x v="2"/>
          </reference>
          <reference field="5" count="1" selected="0">
            <x v="3"/>
          </reference>
          <reference field="8" count="1" selected="0">
            <x v="7"/>
          </reference>
          <reference field="10" count="1" selected="0">
            <x v="0"/>
          </reference>
          <reference field="11" count="1" selected="0">
            <x v="6"/>
          </reference>
          <reference field="12" count="1" selected="0">
            <x v="7"/>
          </reference>
          <reference field="13" count="1">
            <x v="15"/>
          </reference>
        </references>
      </pivotArea>
    </format>
    <format dxfId="768">
      <pivotArea dataOnly="0" labelOnly="1" outline="0" fieldPosition="0">
        <references count="8">
          <reference field="0" count="1" selected="0">
            <x v="29"/>
          </reference>
          <reference field="4" count="1" selected="0">
            <x v="2"/>
          </reference>
          <reference field="5" count="1" selected="0">
            <x v="3"/>
          </reference>
          <reference field="8" count="1" selected="0">
            <x v="3"/>
          </reference>
          <reference field="10" count="1" selected="0">
            <x v="0"/>
          </reference>
          <reference field="11" count="1" selected="0">
            <x v="4"/>
          </reference>
          <reference field="12" count="1" selected="0">
            <x v="11"/>
          </reference>
          <reference field="13" count="1">
            <x v="21"/>
          </reference>
        </references>
      </pivotArea>
    </format>
    <format dxfId="767">
      <pivotArea dataOnly="0" labelOnly="1" outline="0" fieldPosition="0">
        <references count="8">
          <reference field="0" count="1" selected="0">
            <x v="30"/>
          </reference>
          <reference field="4" count="1" selected="0">
            <x v="2"/>
          </reference>
          <reference field="5" count="1" selected="0">
            <x v="3"/>
          </reference>
          <reference field="8" count="1" selected="0">
            <x v="4"/>
          </reference>
          <reference field="10" count="1" selected="0">
            <x v="1"/>
          </reference>
          <reference field="11" count="1" selected="0">
            <x v="0"/>
          </reference>
          <reference field="12" count="1" selected="0">
            <x v="5"/>
          </reference>
          <reference field="13" count="1">
            <x v="7"/>
          </reference>
        </references>
      </pivotArea>
    </format>
    <format dxfId="766">
      <pivotArea dataOnly="0" labelOnly="1" outline="0" fieldPosition="0">
        <references count="8">
          <reference field="0" count="1" selected="0">
            <x v="30"/>
          </reference>
          <reference field="4" count="1" selected="0">
            <x v="2"/>
          </reference>
          <reference field="5" count="1" selected="0">
            <x v="3"/>
          </reference>
          <reference field="8" count="1" selected="0">
            <x v="4"/>
          </reference>
          <reference field="10" count="1" selected="0">
            <x v="1"/>
          </reference>
          <reference field="11" count="1" selected="0">
            <x v="0"/>
          </reference>
          <reference field="12" count="1" selected="0">
            <x v="8"/>
          </reference>
          <reference field="13" count="1">
            <x v="8"/>
          </reference>
        </references>
      </pivotArea>
    </format>
    <format dxfId="765">
      <pivotArea dataOnly="0" labelOnly="1" outline="0" fieldPosition="0">
        <references count="8">
          <reference field="0" count="1" selected="0">
            <x v="31"/>
          </reference>
          <reference field="4" count="1" selected="0">
            <x v="2"/>
          </reference>
          <reference field="5" count="1" selected="0">
            <x v="3"/>
          </reference>
          <reference field="8" count="1" selected="0">
            <x v="0"/>
          </reference>
          <reference field="10" count="1" selected="0">
            <x v="0"/>
          </reference>
          <reference field="11" count="1" selected="0">
            <x v="6"/>
          </reference>
          <reference field="12" count="1" selected="0">
            <x v="9"/>
          </reference>
          <reference field="13" count="1">
            <x v="26"/>
          </reference>
        </references>
      </pivotArea>
    </format>
    <format dxfId="764">
      <pivotArea dataOnly="0" labelOnly="1" outline="0" fieldPosition="0">
        <references count="8">
          <reference field="0" count="1" selected="0">
            <x v="32"/>
          </reference>
          <reference field="4" count="1" selected="0">
            <x v="2"/>
          </reference>
          <reference field="5" count="1" selected="0">
            <x v="3"/>
          </reference>
          <reference field="8" count="1" selected="0">
            <x v="0"/>
          </reference>
          <reference field="10" count="1" selected="0">
            <x v="0"/>
          </reference>
          <reference field="11" count="1" selected="0">
            <x v="6"/>
          </reference>
          <reference field="12" count="1" selected="0">
            <x v="10"/>
          </reference>
          <reference field="13" count="1">
            <x v="27"/>
          </reference>
        </references>
      </pivotArea>
    </format>
    <format dxfId="763">
      <pivotArea dataOnly="0" labelOnly="1" outline="0" fieldPosition="0">
        <references count="8">
          <reference field="0" count="1" selected="0">
            <x v="35"/>
          </reference>
          <reference field="4" count="1" selected="0">
            <x v="1"/>
          </reference>
          <reference field="5" count="1" selected="0">
            <x v="4"/>
          </reference>
          <reference field="8" count="1" selected="0">
            <x v="3"/>
          </reference>
          <reference field="10" count="1" selected="0">
            <x v="1"/>
          </reference>
          <reference field="11" count="1" selected="0">
            <x v="4"/>
          </reference>
          <reference field="12" count="1" selected="0">
            <x v="4"/>
          </reference>
          <reference field="13" count="1">
            <x v="31"/>
          </reference>
        </references>
      </pivotArea>
    </format>
    <format dxfId="762">
      <pivotArea dataOnly="0" labelOnly="1" outline="0" fieldPosition="0">
        <references count="8">
          <reference field="0" count="1" selected="0">
            <x v="36"/>
          </reference>
          <reference field="4" count="1" selected="0">
            <x v="1"/>
          </reference>
          <reference field="5" count="1" selected="0">
            <x v="4"/>
          </reference>
          <reference field="8" count="1" selected="0">
            <x v="3"/>
          </reference>
          <reference field="10" count="1" selected="0">
            <x v="1"/>
          </reference>
          <reference field="11" count="1" selected="0">
            <x v="4"/>
          </reference>
          <reference field="12" count="1" selected="0">
            <x v="3"/>
          </reference>
          <reference field="13" count="1">
            <x v="16"/>
          </reference>
        </references>
      </pivotArea>
    </format>
    <format dxfId="761">
      <pivotArea dataOnly="0" labelOnly="1" outline="0" fieldPosition="0">
        <references count="8">
          <reference field="0" count="1" selected="0">
            <x v="37"/>
          </reference>
          <reference field="4" count="1" selected="0">
            <x v="1"/>
          </reference>
          <reference field="5" count="1" selected="0">
            <x v="4"/>
          </reference>
          <reference field="8" count="1" selected="0">
            <x v="5"/>
          </reference>
          <reference field="10" count="1" selected="0">
            <x v="2"/>
          </reference>
          <reference field="11" count="1" selected="0">
            <x v="7"/>
          </reference>
          <reference field="12" count="1" selected="0">
            <x v="34"/>
          </reference>
          <reference field="13" count="1">
            <x v="18"/>
          </reference>
        </references>
      </pivotArea>
    </format>
    <format dxfId="760">
      <pivotArea dataOnly="0" labelOnly="1" outline="0" fieldPosition="0">
        <references count="8">
          <reference field="0" count="1" selected="0">
            <x v="38"/>
          </reference>
          <reference field="4" count="1" selected="0">
            <x v="1"/>
          </reference>
          <reference field="5" count="1" selected="0">
            <x v="4"/>
          </reference>
          <reference field="8" count="1" selected="0">
            <x v="4"/>
          </reference>
          <reference field="10" count="1" selected="0">
            <x v="1"/>
          </reference>
          <reference field="11" count="1" selected="0">
            <x v="0"/>
          </reference>
          <reference field="12" count="1" selected="0">
            <x v="0"/>
          </reference>
          <reference field="13" count="1">
            <x v="10"/>
          </reference>
        </references>
      </pivotArea>
    </format>
    <format dxfId="759">
      <pivotArea dataOnly="0" labelOnly="1" outline="0" fieldPosition="0">
        <references count="8">
          <reference field="0" count="1" selected="0">
            <x v="38"/>
          </reference>
          <reference field="4" count="1" selected="0">
            <x v="1"/>
          </reference>
          <reference field="5" count="1" selected="0">
            <x v="4"/>
          </reference>
          <reference field="8" count="1" selected="0">
            <x v="4"/>
          </reference>
          <reference field="10" count="1" selected="0">
            <x v="1"/>
          </reference>
          <reference field="11" count="1" selected="0">
            <x v="0"/>
          </reference>
          <reference field="12" count="1" selected="0">
            <x v="1"/>
          </reference>
          <reference field="13" count="1">
            <x v="25"/>
          </reference>
        </references>
      </pivotArea>
    </format>
    <format dxfId="758">
      <pivotArea dataOnly="0" labelOnly="1" outline="0" fieldPosition="0">
        <references count="8">
          <reference field="0" count="1" selected="0">
            <x v="38"/>
          </reference>
          <reference field="4" count="1" selected="0">
            <x v="1"/>
          </reference>
          <reference field="5" count="1" selected="0">
            <x v="4"/>
          </reference>
          <reference field="8" count="1" selected="0">
            <x v="4"/>
          </reference>
          <reference field="10" count="1" selected="0">
            <x v="1"/>
          </reference>
          <reference field="11" count="1" selected="0">
            <x v="0"/>
          </reference>
          <reference field="12" count="1" selected="0">
            <x v="2"/>
          </reference>
          <reference field="13" count="1">
            <x v="3"/>
          </reference>
        </references>
      </pivotArea>
    </format>
    <format dxfId="757">
      <pivotArea dataOnly="0" labelOnly="1" outline="0" fieldPosition="0">
        <references count="8">
          <reference field="0" count="1" selected="0">
            <x v="39"/>
          </reference>
          <reference field="4" count="1" selected="0">
            <x v="1"/>
          </reference>
          <reference field="5" count="1" selected="0">
            <x v="5"/>
          </reference>
          <reference field="8" count="1" selected="0">
            <x v="6"/>
          </reference>
          <reference field="10" count="1" selected="0">
            <x v="0"/>
          </reference>
          <reference field="11" count="1" selected="0">
            <x v="1"/>
          </reference>
          <reference field="12" count="1" selected="0">
            <x v="22"/>
          </reference>
          <reference field="13" count="1">
            <x v="1"/>
          </reference>
        </references>
      </pivotArea>
    </format>
    <format dxfId="756">
      <pivotArea dataOnly="0" labelOnly="1" outline="0" fieldPosition="0">
        <references count="8">
          <reference field="0" count="1" selected="0">
            <x v="40"/>
          </reference>
          <reference field="4" count="1" selected="0">
            <x v="1"/>
          </reference>
          <reference field="5" count="1" selected="0">
            <x v="5"/>
          </reference>
          <reference field="8" count="1" selected="0">
            <x v="3"/>
          </reference>
          <reference field="10" count="1" selected="0">
            <x v="0"/>
          </reference>
          <reference field="11" count="1" selected="0">
            <x v="6"/>
          </reference>
          <reference field="12" count="1" selected="0">
            <x v="12"/>
          </reference>
          <reference field="13" count="1">
            <x v="28"/>
          </reference>
        </references>
      </pivotArea>
    </format>
    <format dxfId="755">
      <pivotArea dataOnly="0" labelOnly="1" outline="0" fieldPosition="0">
        <references count="8">
          <reference field="0" count="1" selected="0">
            <x v="43"/>
          </reference>
          <reference field="4" count="1" selected="0">
            <x v="1"/>
          </reference>
          <reference field="5" count="1" selected="0">
            <x v="5"/>
          </reference>
          <reference field="8" count="1" selected="0">
            <x v="3"/>
          </reference>
          <reference field="10" count="1" selected="0">
            <x v="0"/>
          </reference>
          <reference field="11" count="1" selected="0">
            <x v="4"/>
          </reference>
          <reference field="12" count="1" selected="0">
            <x v="21"/>
          </reference>
          <reference field="13" count="1">
            <x v="17"/>
          </reference>
        </references>
      </pivotArea>
    </format>
    <format dxfId="754">
      <pivotArea dataOnly="0" labelOnly="1" outline="0" fieldPosition="0">
        <references count="8">
          <reference field="0" count="1" selected="0">
            <x v="44"/>
          </reference>
          <reference field="4" count="1" selected="0">
            <x v="1"/>
          </reference>
          <reference field="5" count="1" selected="0">
            <x v="5"/>
          </reference>
          <reference field="8" count="1" selected="0">
            <x v="3"/>
          </reference>
          <reference field="10" count="1" selected="0">
            <x v="0"/>
          </reference>
          <reference field="11" count="1" selected="0">
            <x v="1"/>
          </reference>
          <reference field="12" count="1" selected="0">
            <x v="13"/>
          </reference>
          <reference field="13" count="1">
            <x v="4"/>
          </reference>
        </references>
      </pivotArea>
    </format>
    <format dxfId="753">
      <pivotArea dataOnly="0" labelOnly="1" outline="0" fieldPosition="0">
        <references count="8">
          <reference field="0" count="1" selected="0">
            <x v="44"/>
          </reference>
          <reference field="4" count="1" selected="0">
            <x v="1"/>
          </reference>
          <reference field="5" count="1" selected="0">
            <x v="5"/>
          </reference>
          <reference field="8" count="1" selected="0">
            <x v="3"/>
          </reference>
          <reference field="10" count="1" selected="0">
            <x v="0"/>
          </reference>
          <reference field="11" count="1" selected="0">
            <x v="1"/>
          </reference>
          <reference field="12" count="1" selected="0">
            <x v="16"/>
          </reference>
          <reference field="13" count="1">
            <x v="5"/>
          </reference>
        </references>
      </pivotArea>
    </format>
    <format dxfId="752">
      <pivotArea dataOnly="0" labelOnly="1" outline="0" fieldPosition="0">
        <references count="8">
          <reference field="0" count="1" selected="0">
            <x v="49"/>
          </reference>
          <reference field="4" count="1" selected="0">
            <x v="1"/>
          </reference>
          <reference field="5" count="1" selected="0">
            <x v="5"/>
          </reference>
          <reference field="8" count="1" selected="0">
            <x v="7"/>
          </reference>
          <reference field="10" count="1" selected="0">
            <x v="0"/>
          </reference>
          <reference field="11" count="1" selected="0">
            <x v="0"/>
          </reference>
          <reference field="12" count="1" selected="0">
            <x v="15"/>
          </reference>
          <reference field="13" count="1">
            <x v="34"/>
          </reference>
        </references>
      </pivotArea>
    </format>
    <format dxfId="751">
      <pivotArea dataOnly="0" labelOnly="1" outline="0" fieldPosition="0">
        <references count="8">
          <reference field="0" count="1" selected="0">
            <x v="50"/>
          </reference>
          <reference field="4" count="1" selected="0">
            <x v="1"/>
          </reference>
          <reference field="5" count="1" selected="0">
            <x v="5"/>
          </reference>
          <reference field="8" count="1" selected="0">
            <x v="6"/>
          </reference>
          <reference field="10" count="1" selected="0">
            <x v="0"/>
          </reference>
          <reference field="11" count="1" selected="0">
            <x v="4"/>
          </reference>
          <reference field="12" count="1" selected="0">
            <x v="20"/>
          </reference>
          <reference field="13" count="1">
            <x v="35"/>
          </reference>
        </references>
      </pivotArea>
    </format>
    <format dxfId="750">
      <pivotArea dataOnly="0" labelOnly="1" outline="0" fieldPosition="0">
        <references count="8">
          <reference field="0" count="1" selected="0">
            <x v="52"/>
          </reference>
          <reference field="4" count="1" selected="0">
            <x v="1"/>
          </reference>
          <reference field="5" count="1" selected="0">
            <x v="6"/>
          </reference>
          <reference field="8" count="1" selected="0">
            <x v="3"/>
          </reference>
          <reference field="10" count="1" selected="0">
            <x v="0"/>
          </reference>
          <reference field="11" count="1" selected="0">
            <x v="4"/>
          </reference>
          <reference field="12" count="1" selected="0">
            <x v="21"/>
          </reference>
          <reference field="13" count="1">
            <x v="17"/>
          </reference>
        </references>
      </pivotArea>
    </format>
    <format dxfId="749">
      <pivotArea dataOnly="0" labelOnly="1" outline="0" fieldPosition="0">
        <references count="8">
          <reference field="0" count="1" selected="0">
            <x v="53"/>
          </reference>
          <reference field="4" count="1" selected="0">
            <x v="1"/>
          </reference>
          <reference field="5" count="1" selected="0">
            <x v="6"/>
          </reference>
          <reference field="8" count="1" selected="0">
            <x v="6"/>
          </reference>
          <reference field="10" count="1" selected="0">
            <x v="0"/>
          </reference>
          <reference field="11" count="1" selected="0">
            <x v="0"/>
          </reference>
          <reference field="12" count="1" selected="0">
            <x v="15"/>
          </reference>
          <reference field="13" count="1">
            <x v="34"/>
          </reference>
        </references>
      </pivotArea>
    </format>
    <format dxfId="748">
      <pivotArea dataOnly="0" labelOnly="1" outline="0" fieldPosition="0">
        <references count="8">
          <reference field="0" count="1" selected="0">
            <x v="58"/>
          </reference>
          <reference field="4" count="1" selected="0">
            <x v="1"/>
          </reference>
          <reference field="5" count="1" selected="0">
            <x v="6"/>
          </reference>
          <reference field="8" count="1" selected="0">
            <x v="3"/>
          </reference>
          <reference field="10" count="1" selected="0">
            <x v="0"/>
          </reference>
          <reference field="11" count="1" selected="0">
            <x v="4"/>
          </reference>
          <reference field="12" count="1" selected="0">
            <x v="24"/>
          </reference>
          <reference field="13" count="1">
            <x v="9"/>
          </reference>
        </references>
      </pivotArea>
    </format>
    <format dxfId="747">
      <pivotArea dataOnly="0" labelOnly="1" outline="0" fieldPosition="0">
        <references count="8">
          <reference field="0" count="1" selected="0">
            <x v="64"/>
          </reference>
          <reference field="4" count="1" selected="0">
            <x v="1"/>
          </reference>
          <reference field="5" count="1" selected="0">
            <x v="6"/>
          </reference>
          <reference field="8" count="1" selected="0">
            <x v="6"/>
          </reference>
          <reference field="10" count="1" selected="0">
            <x v="0"/>
          </reference>
          <reference field="11" count="1" selected="0">
            <x v="5"/>
          </reference>
          <reference field="12" count="1" selected="0">
            <x v="35"/>
          </reference>
          <reference field="13" count="1">
            <x v="36"/>
          </reference>
        </references>
      </pivotArea>
    </format>
    <format dxfId="746">
      <pivotArea dataOnly="0" labelOnly="1" outline="0" fieldPosition="0">
        <references count="8">
          <reference field="0" count="1" selected="0">
            <x v="65"/>
          </reference>
          <reference field="4" count="1" selected="0">
            <x v="1"/>
          </reference>
          <reference field="5" count="1" selected="0">
            <x v="6"/>
          </reference>
          <reference field="8" count="1" selected="0">
            <x v="7"/>
          </reference>
          <reference field="10" count="1" selected="0">
            <x v="0"/>
          </reference>
          <reference field="11" count="1" selected="0">
            <x v="0"/>
          </reference>
          <reference field="12" count="1" selected="0">
            <x v="0"/>
          </reference>
          <reference field="13" count="1">
            <x v="10"/>
          </reference>
        </references>
      </pivotArea>
    </format>
    <format dxfId="745">
      <pivotArea dataOnly="0" labelOnly="1" outline="0" fieldPosition="0">
        <references count="8">
          <reference field="0" count="1" selected="0">
            <x v="65"/>
          </reference>
          <reference field="4" count="1" selected="0">
            <x v="1"/>
          </reference>
          <reference field="5" count="1" selected="0">
            <x v="6"/>
          </reference>
          <reference field="8" count="1" selected="0">
            <x v="7"/>
          </reference>
          <reference field="10" count="1" selected="0">
            <x v="0"/>
          </reference>
          <reference field="11" count="1" selected="0">
            <x v="0"/>
          </reference>
          <reference field="12" count="1" selected="0">
            <x v="1"/>
          </reference>
          <reference field="13" count="1">
            <x v="25"/>
          </reference>
        </references>
      </pivotArea>
    </format>
    <format dxfId="744">
      <pivotArea dataOnly="0" labelOnly="1" outline="0" fieldPosition="0">
        <references count="8">
          <reference field="0" count="1" selected="0">
            <x v="67"/>
          </reference>
          <reference field="4" count="1" selected="0">
            <x v="0"/>
          </reference>
          <reference field="5" count="1" selected="0">
            <x v="7"/>
          </reference>
          <reference field="8" count="1" selected="0">
            <x v="2"/>
          </reference>
          <reference field="10" count="1" selected="0">
            <x v="0"/>
          </reference>
          <reference field="11" count="1" selected="0">
            <x v="0"/>
          </reference>
          <reference field="12" count="1" selected="0">
            <x v="25"/>
          </reference>
          <reference field="13" count="1">
            <x v="12"/>
          </reference>
        </references>
      </pivotArea>
    </format>
    <format dxfId="743">
      <pivotArea dataOnly="0" labelOnly="1" outline="0" fieldPosition="0">
        <references count="8">
          <reference field="0" count="1" selected="0">
            <x v="68"/>
          </reference>
          <reference field="4" count="1" selected="0">
            <x v="0"/>
          </reference>
          <reference field="5" count="1" selected="0">
            <x v="7"/>
          </reference>
          <reference field="8" count="1" selected="0">
            <x v="2"/>
          </reference>
          <reference field="10" count="1" selected="0">
            <x v="0"/>
          </reference>
          <reference field="11" count="1" selected="0">
            <x v="1"/>
          </reference>
          <reference field="12" count="1" selected="0">
            <x v="26"/>
          </reference>
          <reference field="13" count="1">
            <x v="13"/>
          </reference>
        </references>
      </pivotArea>
    </format>
    <format dxfId="742">
      <pivotArea dataOnly="0" labelOnly="1" outline="0" fieldPosition="0">
        <references count="8">
          <reference field="0" count="1" selected="0">
            <x v="69"/>
          </reference>
          <reference field="4" count="1" selected="0">
            <x v="0"/>
          </reference>
          <reference field="5" count="1" selected="0">
            <x v="7"/>
          </reference>
          <reference field="8" count="1" selected="0">
            <x v="2"/>
          </reference>
          <reference field="10" count="1" selected="0">
            <x v="0"/>
          </reference>
          <reference field="11" count="1" selected="0">
            <x v="0"/>
          </reference>
          <reference field="12" count="1" selected="0">
            <x v="25"/>
          </reference>
          <reference field="13" count="1">
            <x v="12"/>
          </reference>
        </references>
      </pivotArea>
    </format>
    <format dxfId="741">
      <pivotArea dataOnly="0" labelOnly="1" outline="0" fieldPosition="0">
        <references count="8">
          <reference field="0" count="1" selected="0">
            <x v="70"/>
          </reference>
          <reference field="4" count="1" selected="0">
            <x v="0"/>
          </reference>
          <reference field="5" count="1" selected="0">
            <x v="8"/>
          </reference>
          <reference field="8" count="1" selected="0">
            <x v="2"/>
          </reference>
          <reference field="10" count="1" selected="0">
            <x v="0"/>
          </reference>
          <reference field="11" count="1" selected="0">
            <x v="0"/>
          </reference>
          <reference field="12" count="1" selected="0">
            <x v="8"/>
          </reference>
          <reference field="13" count="1">
            <x v="8"/>
          </reference>
        </references>
      </pivotArea>
    </format>
    <format dxfId="740">
      <pivotArea dataOnly="0" labelOnly="1" outline="0" fieldPosition="0">
        <references count="8">
          <reference field="0" count="1" selected="0">
            <x v="71"/>
          </reference>
          <reference field="4" count="1" selected="0">
            <x v="0"/>
          </reference>
          <reference field="5" count="1" selected="0">
            <x v="8"/>
          </reference>
          <reference field="8" count="1" selected="0">
            <x v="2"/>
          </reference>
          <reference field="10" count="1" selected="0">
            <x v="0"/>
          </reference>
          <reference field="11" count="1" selected="0">
            <x v="5"/>
          </reference>
          <reference field="12" count="1" selected="0">
            <x v="20"/>
          </reference>
          <reference field="13" count="1">
            <x v="35"/>
          </reference>
        </references>
      </pivotArea>
    </format>
    <format dxfId="739">
      <pivotArea dataOnly="0" labelOnly="1" outline="0" fieldPosition="0">
        <references count="8">
          <reference field="0" count="1" selected="0">
            <x v="72"/>
          </reference>
          <reference field="4" count="1" selected="0">
            <x v="0"/>
          </reference>
          <reference field="5" count="1" selected="0">
            <x v="8"/>
          </reference>
          <reference field="8" count="1" selected="0">
            <x v="2"/>
          </reference>
          <reference field="10" count="1" selected="0">
            <x v="0"/>
          </reference>
          <reference field="11" count="1" selected="0">
            <x v="0"/>
          </reference>
          <reference field="12" count="1" selected="0">
            <x v="27"/>
          </reference>
          <reference field="13" count="1">
            <x v="6"/>
          </reference>
        </references>
      </pivotArea>
    </format>
    <format dxfId="738">
      <pivotArea dataOnly="0" labelOnly="1" outline="0" fieldPosition="0">
        <references count="8">
          <reference field="0" count="1" selected="0">
            <x v="0"/>
          </reference>
          <reference field="4" count="1" selected="0">
            <x v="0"/>
          </reference>
          <reference field="5" count="1" selected="0">
            <x v="9"/>
          </reference>
          <reference field="8" count="1" selected="0">
            <x v="2"/>
          </reference>
          <reference field="10" count="1" selected="0">
            <x v="0"/>
          </reference>
          <reference field="11" count="1" selected="0">
            <x v="0"/>
          </reference>
          <reference field="12" count="1" selected="0">
            <x v="28"/>
          </reference>
          <reference field="13" count="1">
            <x v="32"/>
          </reference>
        </references>
      </pivotArea>
    </format>
    <format dxfId="737">
      <pivotArea dataOnly="0" labelOnly="1" outline="0" fieldPosition="0">
        <references count="8">
          <reference field="0" count="1" selected="0">
            <x v="1"/>
          </reference>
          <reference field="4" count="1" selected="0">
            <x v="0"/>
          </reference>
          <reference field="5" count="1" selected="0">
            <x v="9"/>
          </reference>
          <reference field="8" count="1" selected="0">
            <x v="2"/>
          </reference>
          <reference field="10" count="1" selected="0">
            <x v="0"/>
          </reference>
          <reference field="11" count="1" selected="0">
            <x v="5"/>
          </reference>
          <reference field="12" count="1" selected="0">
            <x v="31"/>
          </reference>
          <reference field="13" count="1">
            <x v="14"/>
          </reference>
        </references>
      </pivotArea>
    </format>
    <format dxfId="736">
      <pivotArea dataOnly="0" labelOnly="1" outline="0" fieldPosition="0">
        <references count="8">
          <reference field="0" count="1" selected="0">
            <x v="2"/>
          </reference>
          <reference field="4" count="1" selected="0">
            <x v="0"/>
          </reference>
          <reference field="5" count="1" selected="0">
            <x v="9"/>
          </reference>
          <reference field="8" count="1" selected="0">
            <x v="2"/>
          </reference>
          <reference field="10" count="1" selected="0">
            <x v="0"/>
          </reference>
          <reference field="11" count="1" selected="0">
            <x v="0"/>
          </reference>
          <reference field="12" count="1" selected="0">
            <x v="28"/>
          </reference>
          <reference field="13" count="1">
            <x v="32"/>
          </reference>
        </references>
      </pivotArea>
    </format>
    <format dxfId="735">
      <pivotArea dataOnly="0" labelOnly="1" outline="0" fieldPosition="0">
        <references count="8">
          <reference field="0" count="1" selected="0">
            <x v="3"/>
          </reference>
          <reference field="4" count="1" selected="0">
            <x v="0"/>
          </reference>
          <reference field="5" count="1" selected="0">
            <x v="10"/>
          </reference>
          <reference field="8" count="1" selected="0">
            <x v="2"/>
          </reference>
          <reference field="10" count="1" selected="0">
            <x v="0"/>
          </reference>
          <reference field="11" count="1" selected="0">
            <x v="3"/>
          </reference>
          <reference field="12" count="1" selected="0">
            <x v="29"/>
          </reference>
          <reference field="13" count="1">
            <x v="30"/>
          </reference>
        </references>
      </pivotArea>
    </format>
    <format dxfId="734">
      <pivotArea dataOnly="0" labelOnly="1" outline="0" fieldPosition="0">
        <references count="8">
          <reference field="0" count="1" selected="0">
            <x v="4"/>
          </reference>
          <reference field="4" count="1" selected="0">
            <x v="0"/>
          </reference>
          <reference field="5" count="1" selected="0">
            <x v="10"/>
          </reference>
          <reference field="8" count="1" selected="0">
            <x v="2"/>
          </reference>
          <reference field="10" count="1" selected="0">
            <x v="0"/>
          </reference>
          <reference field="11" count="1" selected="0">
            <x v="5"/>
          </reference>
          <reference field="12" count="1" selected="0">
            <x v="32"/>
          </reference>
          <reference field="13" count="1">
            <x v="23"/>
          </reference>
        </references>
      </pivotArea>
    </format>
    <format dxfId="733">
      <pivotArea dataOnly="0" labelOnly="1" outline="0" fieldPosition="0">
        <references count="8">
          <reference field="0" count="1" selected="0">
            <x v="5"/>
          </reference>
          <reference field="4" count="1" selected="0">
            <x v="0"/>
          </reference>
          <reference field="5" count="1" selected="0">
            <x v="10"/>
          </reference>
          <reference field="8" count="1" selected="0">
            <x v="2"/>
          </reference>
          <reference field="10" count="1" selected="0">
            <x v="0"/>
          </reference>
          <reference field="11" count="1" selected="0">
            <x v="3"/>
          </reference>
          <reference field="12" count="1" selected="0">
            <x v="29"/>
          </reference>
          <reference field="13" count="1">
            <x v="30"/>
          </reference>
        </references>
      </pivotArea>
    </format>
    <format dxfId="732">
      <pivotArea dataOnly="0" labelOnly="1" outline="0" fieldPosition="0">
        <references count="8">
          <reference field="0" count="1" selected="0">
            <x v="6"/>
          </reference>
          <reference field="4" count="1" selected="0">
            <x v="0"/>
          </reference>
          <reference field="5" count="1" selected="0">
            <x v="11"/>
          </reference>
          <reference field="8" count="1" selected="0">
            <x v="2"/>
          </reference>
          <reference field="10" count="1" selected="0">
            <x v="0"/>
          </reference>
          <reference field="11" count="1" selected="0">
            <x v="3"/>
          </reference>
          <reference field="12" count="1" selected="0">
            <x v="30"/>
          </reference>
          <reference field="13" count="1">
            <x v="29"/>
          </reference>
        </references>
      </pivotArea>
    </format>
    <format dxfId="731">
      <pivotArea dataOnly="0" labelOnly="1" outline="0" fieldPosition="0">
        <references count="8">
          <reference field="0" count="1" selected="0">
            <x v="7"/>
          </reference>
          <reference field="4" count="1" selected="0">
            <x v="0"/>
          </reference>
          <reference field="5" count="1" selected="0">
            <x v="11"/>
          </reference>
          <reference field="8" count="1" selected="0">
            <x v="2"/>
          </reference>
          <reference field="10" count="1" selected="0">
            <x v="0"/>
          </reference>
          <reference field="11" count="1" selected="0">
            <x v="5"/>
          </reference>
          <reference field="12" count="1" selected="0">
            <x v="32"/>
          </reference>
          <reference field="13" count="1">
            <x v="23"/>
          </reference>
        </references>
      </pivotArea>
    </format>
    <format dxfId="730">
      <pivotArea dataOnly="0" labelOnly="1" outline="0" fieldPosition="0">
        <references count="8">
          <reference field="0" count="1" selected="0">
            <x v="8"/>
          </reference>
          <reference field="4" count="1" selected="0">
            <x v="0"/>
          </reference>
          <reference field="5" count="1" selected="0">
            <x v="11"/>
          </reference>
          <reference field="8" count="1" selected="0">
            <x v="2"/>
          </reference>
          <reference field="10" count="1" selected="0">
            <x v="0"/>
          </reference>
          <reference field="11" count="1" selected="0">
            <x v="3"/>
          </reference>
          <reference field="12" count="1" selected="0">
            <x v="30"/>
          </reference>
          <reference field="13" count="1">
            <x v="29"/>
          </reference>
        </references>
      </pivotArea>
    </format>
    <format dxfId="729">
      <pivotArea field="5" type="button" dataOnly="0" labelOnly="1" outline="0" axis="axisRow" fieldPosition="0"/>
    </format>
    <format dxfId="728">
      <pivotArea field="4" type="button" dataOnly="0" labelOnly="1" outline="0" axis="axisRow" fieldPosition="1"/>
    </format>
    <format dxfId="727">
      <pivotArea field="0" type="button" dataOnly="0" labelOnly="1" outline="0" axis="axisRow" fieldPosition="2"/>
    </format>
    <format dxfId="726">
      <pivotArea field="8" type="button" dataOnly="0" labelOnly="1" outline="0" axis="axisRow" fieldPosition="3"/>
    </format>
    <format dxfId="725">
      <pivotArea field="10" type="button" dataOnly="0" labelOnly="1" outline="0" axis="axisRow" fieldPosition="4"/>
    </format>
    <format dxfId="724">
      <pivotArea field="12" type="button" dataOnly="0" labelOnly="1" outline="0" axis="axisRow" fieldPosition="5"/>
    </format>
    <format dxfId="723">
      <pivotArea field="11" type="button" dataOnly="0" labelOnly="1" outline="0" axis="axisRow" fieldPosition="6"/>
    </format>
    <format dxfId="722">
      <pivotArea field="13" type="button" dataOnly="0" labelOnly="1" outline="0" axis="axisRow" fieldPosition="7"/>
    </format>
    <format dxfId="721">
      <pivotArea dataOnly="0" labelOnly="1" outline="0" fieldPosition="0">
        <references count="1">
          <reference field="5" count="0"/>
        </references>
      </pivotArea>
    </format>
    <format dxfId="720">
      <pivotArea dataOnly="0" labelOnly="1" outline="0" fieldPosition="0">
        <references count="1">
          <reference field="5" count="11" defaultSubtotal="1">
            <x v="0"/>
            <x v="1"/>
            <x v="2"/>
            <x v="3"/>
            <x v="4"/>
            <x v="5"/>
            <x v="6"/>
            <x v="7"/>
            <x v="8"/>
            <x v="9"/>
            <x v="10"/>
          </reference>
        </references>
      </pivotArea>
    </format>
    <format dxfId="719">
      <pivotArea dataOnly="0" labelOnly="1" outline="0" fieldPosition="0">
        <references count="2">
          <reference field="4" count="1">
            <x v="2"/>
          </reference>
          <reference field="5" count="1" selected="0">
            <x v="0"/>
          </reference>
        </references>
      </pivotArea>
    </format>
    <format dxfId="718">
      <pivotArea dataOnly="0" labelOnly="1" outline="0" fieldPosition="0">
        <references count="2">
          <reference field="4" count="1">
            <x v="2"/>
          </reference>
          <reference field="5" count="1" selected="0">
            <x v="1"/>
          </reference>
        </references>
      </pivotArea>
    </format>
    <format dxfId="717">
      <pivotArea dataOnly="0" labelOnly="1" outline="0" fieldPosition="0">
        <references count="2">
          <reference field="4" count="1">
            <x v="2"/>
          </reference>
          <reference field="5" count="1" selected="0">
            <x v="2"/>
          </reference>
        </references>
      </pivotArea>
    </format>
    <format dxfId="716">
      <pivotArea dataOnly="0" labelOnly="1" outline="0" fieldPosition="0">
        <references count="2">
          <reference field="4" count="1">
            <x v="2"/>
          </reference>
          <reference field="5" count="1" selected="0">
            <x v="3"/>
          </reference>
        </references>
      </pivotArea>
    </format>
    <format dxfId="715">
      <pivotArea dataOnly="0" labelOnly="1" outline="0" fieldPosition="0">
        <references count="2">
          <reference field="4" count="1">
            <x v="1"/>
          </reference>
          <reference field="5" count="1" selected="0">
            <x v="4"/>
          </reference>
        </references>
      </pivotArea>
    </format>
    <format dxfId="714">
      <pivotArea dataOnly="0" labelOnly="1" outline="0" fieldPosition="0">
        <references count="2">
          <reference field="4" count="1">
            <x v="1"/>
          </reference>
          <reference field="5" count="1" selected="0">
            <x v="5"/>
          </reference>
        </references>
      </pivotArea>
    </format>
    <format dxfId="713">
      <pivotArea dataOnly="0" labelOnly="1" outline="0" fieldPosition="0">
        <references count="2">
          <reference field="4" count="1">
            <x v="1"/>
          </reference>
          <reference field="5" count="1" selected="0">
            <x v="6"/>
          </reference>
        </references>
      </pivotArea>
    </format>
    <format dxfId="712">
      <pivotArea dataOnly="0" labelOnly="1" outline="0" fieldPosition="0">
        <references count="2">
          <reference field="4" count="1">
            <x v="0"/>
          </reference>
          <reference field="5" count="1" selected="0">
            <x v="7"/>
          </reference>
        </references>
      </pivotArea>
    </format>
    <format dxfId="711">
      <pivotArea dataOnly="0" labelOnly="1" outline="0" fieldPosition="0">
        <references count="2">
          <reference field="4" count="1">
            <x v="0"/>
          </reference>
          <reference field="5" count="1" selected="0">
            <x v="8"/>
          </reference>
        </references>
      </pivotArea>
    </format>
    <format dxfId="710">
      <pivotArea dataOnly="0" labelOnly="1" outline="0" fieldPosition="0">
        <references count="2">
          <reference field="4" count="1">
            <x v="0"/>
          </reference>
          <reference field="5" count="1" selected="0">
            <x v="9"/>
          </reference>
        </references>
      </pivotArea>
    </format>
    <format dxfId="709">
      <pivotArea dataOnly="0" labelOnly="1" outline="0" fieldPosition="0">
        <references count="2">
          <reference field="4" count="1">
            <x v="0"/>
          </reference>
          <reference field="5" count="1" selected="0">
            <x v="10"/>
          </reference>
        </references>
      </pivotArea>
    </format>
    <format dxfId="708">
      <pivotArea dataOnly="0" labelOnly="1" outline="0" fieldPosition="0">
        <references count="2">
          <reference field="4" count="1">
            <x v="0"/>
          </reference>
          <reference field="5" count="1" selected="0">
            <x v="11"/>
          </reference>
        </references>
      </pivotArea>
    </format>
    <format dxfId="707">
      <pivotArea dataOnly="0" labelOnly="1" outline="0" fieldPosition="0">
        <references count="3">
          <reference field="0" count="6">
            <x v="9"/>
            <x v="10"/>
            <x v="11"/>
            <x v="12"/>
            <x v="13"/>
            <x v="14"/>
          </reference>
          <reference field="4" count="1" selected="0">
            <x v="2"/>
          </reference>
          <reference field="5" count="1" selected="0">
            <x v="0"/>
          </reference>
        </references>
      </pivotArea>
    </format>
    <format dxfId="706">
      <pivotArea dataOnly="0" labelOnly="1" outline="0" fieldPosition="0">
        <references count="3">
          <reference field="0" count="6">
            <x v="15"/>
            <x v="16"/>
            <x v="17"/>
            <x v="18"/>
            <x v="19"/>
            <x v="20"/>
          </reference>
          <reference field="4" count="1" selected="0">
            <x v="2"/>
          </reference>
          <reference field="5" count="1" selected="0">
            <x v="1"/>
          </reference>
        </references>
      </pivotArea>
    </format>
    <format dxfId="705">
      <pivotArea dataOnly="0" labelOnly="1" outline="0" fieldPosition="0">
        <references count="3">
          <reference field="0" count="6">
            <x v="21"/>
            <x v="22"/>
            <x v="23"/>
            <x v="24"/>
            <x v="25"/>
            <x v="26"/>
          </reference>
          <reference field="4" count="1" selected="0">
            <x v="2"/>
          </reference>
          <reference field="5" count="1" selected="0">
            <x v="2"/>
          </reference>
        </references>
      </pivotArea>
    </format>
    <format dxfId="704">
      <pivotArea dataOnly="0" labelOnly="1" outline="0" fieldPosition="0">
        <references count="3">
          <reference field="0" count="6">
            <x v="27"/>
            <x v="28"/>
            <x v="29"/>
            <x v="30"/>
            <x v="31"/>
            <x v="32"/>
          </reference>
          <reference field="4" count="1" selected="0">
            <x v="2"/>
          </reference>
          <reference field="5" count="1" selected="0">
            <x v="3"/>
          </reference>
        </references>
      </pivotArea>
    </format>
    <format dxfId="703">
      <pivotArea dataOnly="0" labelOnly="1" outline="0" fieldPosition="0">
        <references count="3">
          <reference field="0" count="6">
            <x v="33"/>
            <x v="34"/>
            <x v="35"/>
            <x v="36"/>
            <x v="37"/>
            <x v="38"/>
          </reference>
          <reference field="4" count="1" selected="0">
            <x v="1"/>
          </reference>
          <reference field="5" count="1" selected="0">
            <x v="4"/>
          </reference>
        </references>
      </pivotArea>
    </format>
    <format dxfId="702">
      <pivotArea dataOnly="0" labelOnly="1" outline="0" fieldPosition="0">
        <references count="3">
          <reference field="0" count="6">
            <x v="39"/>
            <x v="40"/>
            <x v="43"/>
            <x v="44"/>
            <x v="49"/>
            <x v="50"/>
          </reference>
          <reference field="4" count="1" selected="0">
            <x v="1"/>
          </reference>
          <reference field="5" count="1" selected="0">
            <x v="5"/>
          </reference>
        </references>
      </pivotArea>
    </format>
    <format dxfId="701">
      <pivotArea dataOnly="0" labelOnly="1" outline="0" fieldPosition="0">
        <references count="3">
          <reference field="0" count="6">
            <x v="52"/>
            <x v="53"/>
            <x v="58"/>
            <x v="59"/>
            <x v="64"/>
            <x v="65"/>
          </reference>
          <reference field="4" count="1" selected="0">
            <x v="1"/>
          </reference>
          <reference field="5" count="1" selected="0">
            <x v="6"/>
          </reference>
        </references>
      </pivotArea>
    </format>
    <format dxfId="700">
      <pivotArea dataOnly="0" labelOnly="1" outline="0" fieldPosition="0">
        <references count="3">
          <reference field="0" count="3">
            <x v="67"/>
            <x v="68"/>
            <x v="69"/>
          </reference>
          <reference field="4" count="1" selected="0">
            <x v="0"/>
          </reference>
          <reference field="5" count="1" selected="0">
            <x v="7"/>
          </reference>
        </references>
      </pivotArea>
    </format>
    <format dxfId="699">
      <pivotArea dataOnly="0" labelOnly="1" outline="0" fieldPosition="0">
        <references count="3">
          <reference field="0" count="3">
            <x v="70"/>
            <x v="71"/>
            <x v="72"/>
          </reference>
          <reference field="4" count="1" selected="0">
            <x v="0"/>
          </reference>
          <reference field="5" count="1" selected="0">
            <x v="8"/>
          </reference>
        </references>
      </pivotArea>
    </format>
    <format dxfId="698">
      <pivotArea dataOnly="0" labelOnly="1" outline="0" fieldPosition="0">
        <references count="3">
          <reference field="0" count="3">
            <x v="0"/>
            <x v="1"/>
            <x v="2"/>
          </reference>
          <reference field="4" count="1" selected="0">
            <x v="0"/>
          </reference>
          <reference field="5" count="1" selected="0">
            <x v="9"/>
          </reference>
        </references>
      </pivotArea>
    </format>
    <format dxfId="697">
      <pivotArea dataOnly="0" labelOnly="1" outline="0" fieldPosition="0">
        <references count="3">
          <reference field="0" count="3">
            <x v="3"/>
            <x v="4"/>
            <x v="5"/>
          </reference>
          <reference field="4" count="1" selected="0">
            <x v="0"/>
          </reference>
          <reference field="5" count="1" selected="0">
            <x v="10"/>
          </reference>
        </references>
      </pivotArea>
    </format>
    <format dxfId="696">
      <pivotArea dataOnly="0" labelOnly="1" outline="0" fieldPosition="0">
        <references count="3">
          <reference field="0" count="3">
            <x v="6"/>
            <x v="7"/>
            <x v="8"/>
          </reference>
          <reference field="4" count="1" selected="0">
            <x v="0"/>
          </reference>
          <reference field="5" count="1" selected="0">
            <x v="11"/>
          </reference>
        </references>
      </pivotArea>
    </format>
    <format dxfId="695">
      <pivotArea dataOnly="0" labelOnly="1" outline="0" fieldPosition="0">
        <references count="4">
          <reference field="0" count="1" selected="0">
            <x v="9"/>
          </reference>
          <reference field="4" count="1" selected="0">
            <x v="2"/>
          </reference>
          <reference field="5" count="1" selected="0">
            <x v="0"/>
          </reference>
          <reference field="8" count="1">
            <x v="6"/>
          </reference>
        </references>
      </pivotArea>
    </format>
    <format dxfId="694">
      <pivotArea dataOnly="0" labelOnly="1" outline="0" fieldPosition="0">
        <references count="4">
          <reference field="0" count="1" selected="0">
            <x v="11"/>
          </reference>
          <reference field="4" count="1" selected="0">
            <x v="2"/>
          </reference>
          <reference field="5" count="1" selected="0">
            <x v="0"/>
          </reference>
          <reference field="8" count="1">
            <x v="3"/>
          </reference>
        </references>
      </pivotArea>
    </format>
    <format dxfId="693">
      <pivotArea dataOnly="0" labelOnly="1" outline="0" fieldPosition="0">
        <references count="4">
          <reference field="0" count="1" selected="0">
            <x v="12"/>
          </reference>
          <reference field="4" count="1" selected="0">
            <x v="2"/>
          </reference>
          <reference field="5" count="1" selected="0">
            <x v="0"/>
          </reference>
          <reference field="8" count="1">
            <x v="7"/>
          </reference>
        </references>
      </pivotArea>
    </format>
    <format dxfId="692">
      <pivotArea dataOnly="0" labelOnly="1" outline="0" fieldPosition="0">
        <references count="4">
          <reference field="0" count="1" selected="0">
            <x v="14"/>
          </reference>
          <reference field="4" count="1" selected="0">
            <x v="2"/>
          </reference>
          <reference field="5" count="1" selected="0">
            <x v="0"/>
          </reference>
          <reference field="8" count="1">
            <x v="5"/>
          </reference>
        </references>
      </pivotArea>
    </format>
    <format dxfId="691">
      <pivotArea dataOnly="0" labelOnly="1" outline="0" fieldPosition="0">
        <references count="4">
          <reference field="0" count="1" selected="0">
            <x v="15"/>
          </reference>
          <reference field="4" count="1" selected="0">
            <x v="2"/>
          </reference>
          <reference field="5" count="1" selected="0">
            <x v="1"/>
          </reference>
          <reference field="8" count="1">
            <x v="1"/>
          </reference>
        </references>
      </pivotArea>
    </format>
    <format dxfId="690">
      <pivotArea dataOnly="0" labelOnly="1" outline="0" fieldPosition="0">
        <references count="4">
          <reference field="0" count="1" selected="0">
            <x v="21"/>
          </reference>
          <reference field="4" count="1" selected="0">
            <x v="2"/>
          </reference>
          <reference field="5" count="1" selected="0">
            <x v="2"/>
          </reference>
          <reference field="8" count="1">
            <x v="6"/>
          </reference>
        </references>
      </pivotArea>
    </format>
    <format dxfId="689">
      <pivotArea dataOnly="0" labelOnly="1" outline="0" fieldPosition="0">
        <references count="4">
          <reference field="0" count="1" selected="0">
            <x v="23"/>
          </reference>
          <reference field="4" count="1" selected="0">
            <x v="2"/>
          </reference>
          <reference field="5" count="1" selected="0">
            <x v="2"/>
          </reference>
          <reference field="8" count="1">
            <x v="3"/>
          </reference>
        </references>
      </pivotArea>
    </format>
    <format dxfId="688">
      <pivotArea dataOnly="0" labelOnly="1" outline="0" fieldPosition="0">
        <references count="4">
          <reference field="0" count="1" selected="0">
            <x v="24"/>
          </reference>
          <reference field="4" count="1" selected="0">
            <x v="2"/>
          </reference>
          <reference field="5" count="1" selected="0">
            <x v="2"/>
          </reference>
          <reference field="8" count="1">
            <x v="7"/>
          </reference>
        </references>
      </pivotArea>
    </format>
    <format dxfId="687">
      <pivotArea dataOnly="0" labelOnly="1" outline="0" fieldPosition="0">
        <references count="4">
          <reference field="0" count="1" selected="0">
            <x v="26"/>
          </reference>
          <reference field="4" count="1" selected="0">
            <x v="2"/>
          </reference>
          <reference field="5" count="1" selected="0">
            <x v="2"/>
          </reference>
          <reference field="8" count="1">
            <x v="5"/>
          </reference>
        </references>
      </pivotArea>
    </format>
    <format dxfId="686">
      <pivotArea dataOnly="0" labelOnly="1" outline="0" fieldPosition="0">
        <references count="4">
          <reference field="0" count="1" selected="0">
            <x v="27"/>
          </reference>
          <reference field="4" count="1" selected="0">
            <x v="2"/>
          </reference>
          <reference field="5" count="1" selected="0">
            <x v="3"/>
          </reference>
          <reference field="8" count="1">
            <x v="7"/>
          </reference>
        </references>
      </pivotArea>
    </format>
    <format dxfId="685">
      <pivotArea dataOnly="0" labelOnly="1" outline="0" fieldPosition="0">
        <references count="4">
          <reference field="0" count="1" selected="0">
            <x v="29"/>
          </reference>
          <reference field="4" count="1" selected="0">
            <x v="2"/>
          </reference>
          <reference field="5" count="1" selected="0">
            <x v="3"/>
          </reference>
          <reference field="8" count="1">
            <x v="3"/>
          </reference>
        </references>
      </pivotArea>
    </format>
    <format dxfId="684">
      <pivotArea dataOnly="0" labelOnly="1" outline="0" fieldPosition="0">
        <references count="4">
          <reference field="0" count="1" selected="0">
            <x v="30"/>
          </reference>
          <reference field="4" count="1" selected="0">
            <x v="2"/>
          </reference>
          <reference field="5" count="1" selected="0">
            <x v="3"/>
          </reference>
          <reference field="8" count="1">
            <x v="4"/>
          </reference>
        </references>
      </pivotArea>
    </format>
    <format dxfId="683">
      <pivotArea dataOnly="0" labelOnly="1" outline="0" fieldPosition="0">
        <references count="4">
          <reference field="0" count="1" selected="0">
            <x v="31"/>
          </reference>
          <reference field="4" count="1" selected="0">
            <x v="2"/>
          </reference>
          <reference field="5" count="1" selected="0">
            <x v="3"/>
          </reference>
          <reference field="8" count="1">
            <x v="0"/>
          </reference>
        </references>
      </pivotArea>
    </format>
    <format dxfId="682">
      <pivotArea dataOnly="0" labelOnly="1" outline="0" fieldPosition="0">
        <references count="4">
          <reference field="0" count="1" selected="0">
            <x v="33"/>
          </reference>
          <reference field="4" count="1" selected="0">
            <x v="1"/>
          </reference>
          <reference field="5" count="1" selected="0">
            <x v="4"/>
          </reference>
          <reference field="8" count="1">
            <x v="5"/>
          </reference>
        </references>
      </pivotArea>
    </format>
    <format dxfId="681">
      <pivotArea dataOnly="0" labelOnly="1" outline="0" fieldPosition="0">
        <references count="4">
          <reference field="0" count="1" selected="0">
            <x v="35"/>
          </reference>
          <reference field="4" count="1" selected="0">
            <x v="1"/>
          </reference>
          <reference field="5" count="1" selected="0">
            <x v="4"/>
          </reference>
          <reference field="8" count="1">
            <x v="3"/>
          </reference>
        </references>
      </pivotArea>
    </format>
    <format dxfId="680">
      <pivotArea dataOnly="0" labelOnly="1" outline="0" fieldPosition="0">
        <references count="4">
          <reference field="0" count="1" selected="0">
            <x v="37"/>
          </reference>
          <reference field="4" count="1" selected="0">
            <x v="1"/>
          </reference>
          <reference field="5" count="1" selected="0">
            <x v="4"/>
          </reference>
          <reference field="8" count="1">
            <x v="5"/>
          </reference>
        </references>
      </pivotArea>
    </format>
    <format dxfId="679">
      <pivotArea dataOnly="0" labelOnly="1" outline="0" fieldPosition="0">
        <references count="4">
          <reference field="0" count="1" selected="0">
            <x v="38"/>
          </reference>
          <reference field="4" count="1" selected="0">
            <x v="1"/>
          </reference>
          <reference field="5" count="1" selected="0">
            <x v="4"/>
          </reference>
          <reference field="8" count="1">
            <x v="4"/>
          </reference>
        </references>
      </pivotArea>
    </format>
    <format dxfId="678">
      <pivotArea dataOnly="0" labelOnly="1" outline="0" fieldPosition="0">
        <references count="4">
          <reference field="0" count="1" selected="0">
            <x v="39"/>
          </reference>
          <reference field="4" count="1" selected="0">
            <x v="1"/>
          </reference>
          <reference field="5" count="1" selected="0">
            <x v="5"/>
          </reference>
          <reference field="8" count="1">
            <x v="6"/>
          </reference>
        </references>
      </pivotArea>
    </format>
    <format dxfId="677">
      <pivotArea dataOnly="0" labelOnly="1" outline="0" fieldPosition="0">
        <references count="4">
          <reference field="0" count="1" selected="0">
            <x v="40"/>
          </reference>
          <reference field="4" count="1" selected="0">
            <x v="1"/>
          </reference>
          <reference field="5" count="1" selected="0">
            <x v="5"/>
          </reference>
          <reference field="8" count="1">
            <x v="3"/>
          </reference>
        </references>
      </pivotArea>
    </format>
    <format dxfId="676">
      <pivotArea dataOnly="0" labelOnly="1" outline="0" fieldPosition="0">
        <references count="4">
          <reference field="0" count="1" selected="0">
            <x v="49"/>
          </reference>
          <reference field="4" count="1" selected="0">
            <x v="1"/>
          </reference>
          <reference field="5" count="1" selected="0">
            <x v="5"/>
          </reference>
          <reference field="8" count="1">
            <x v="7"/>
          </reference>
        </references>
      </pivotArea>
    </format>
    <format dxfId="675">
      <pivotArea dataOnly="0" labelOnly="1" outline="0" fieldPosition="0">
        <references count="4">
          <reference field="0" count="1" selected="0">
            <x v="50"/>
          </reference>
          <reference field="4" count="1" selected="0">
            <x v="1"/>
          </reference>
          <reference field="5" count="1" selected="0">
            <x v="5"/>
          </reference>
          <reference field="8" count="1">
            <x v="6"/>
          </reference>
        </references>
      </pivotArea>
    </format>
    <format dxfId="674">
      <pivotArea dataOnly="0" labelOnly="1" outline="0" fieldPosition="0">
        <references count="4">
          <reference field="0" count="1" selected="0">
            <x v="52"/>
          </reference>
          <reference field="4" count="1" selected="0">
            <x v="1"/>
          </reference>
          <reference field="5" count="1" selected="0">
            <x v="6"/>
          </reference>
          <reference field="8" count="1">
            <x v="3"/>
          </reference>
        </references>
      </pivotArea>
    </format>
    <format dxfId="673">
      <pivotArea dataOnly="0" labelOnly="1" outline="0" fieldPosition="0">
        <references count="4">
          <reference field="0" count="1" selected="0">
            <x v="53"/>
          </reference>
          <reference field="4" count="1" selected="0">
            <x v="1"/>
          </reference>
          <reference field="5" count="1" selected="0">
            <x v="6"/>
          </reference>
          <reference field="8" count="1">
            <x v="6"/>
          </reference>
        </references>
      </pivotArea>
    </format>
    <format dxfId="672">
      <pivotArea dataOnly="0" labelOnly="1" outline="0" fieldPosition="0">
        <references count="4">
          <reference field="0" count="1" selected="0">
            <x v="58"/>
          </reference>
          <reference field="4" count="1" selected="0">
            <x v="1"/>
          </reference>
          <reference field="5" count="1" selected="0">
            <x v="6"/>
          </reference>
          <reference field="8" count="1">
            <x v="3"/>
          </reference>
        </references>
      </pivotArea>
    </format>
    <format dxfId="671">
      <pivotArea dataOnly="0" labelOnly="1" outline="0" fieldPosition="0">
        <references count="4">
          <reference field="0" count="1" selected="0">
            <x v="64"/>
          </reference>
          <reference field="4" count="1" selected="0">
            <x v="1"/>
          </reference>
          <reference field="5" count="1" selected="0">
            <x v="6"/>
          </reference>
          <reference field="8" count="1">
            <x v="6"/>
          </reference>
        </references>
      </pivotArea>
    </format>
    <format dxfId="670">
      <pivotArea dataOnly="0" labelOnly="1" outline="0" fieldPosition="0">
        <references count="4">
          <reference field="0" count="1" selected="0">
            <x v="65"/>
          </reference>
          <reference field="4" count="1" selected="0">
            <x v="1"/>
          </reference>
          <reference field="5" count="1" selected="0">
            <x v="6"/>
          </reference>
          <reference field="8" count="1">
            <x v="7"/>
          </reference>
        </references>
      </pivotArea>
    </format>
    <format dxfId="669">
      <pivotArea dataOnly="0" labelOnly="1" outline="0" fieldPosition="0">
        <references count="4">
          <reference field="0" count="1" selected="0">
            <x v="67"/>
          </reference>
          <reference field="4" count="1" selected="0">
            <x v="0"/>
          </reference>
          <reference field="5" count="1" selected="0">
            <x v="7"/>
          </reference>
          <reference field="8" count="1">
            <x v="2"/>
          </reference>
        </references>
      </pivotArea>
    </format>
    <format dxfId="668">
      <pivotArea dataOnly="0" labelOnly="1" outline="0" fieldPosition="0">
        <references count="4">
          <reference field="0" count="1" selected="0">
            <x v="70"/>
          </reference>
          <reference field="4" count="1" selected="0">
            <x v="0"/>
          </reference>
          <reference field="5" count="1" selected="0">
            <x v="8"/>
          </reference>
          <reference field="8" count="1">
            <x v="2"/>
          </reference>
        </references>
      </pivotArea>
    </format>
    <format dxfId="667">
      <pivotArea dataOnly="0" labelOnly="1" outline="0" fieldPosition="0">
        <references count="4">
          <reference field="0" count="1" selected="0">
            <x v="0"/>
          </reference>
          <reference field="4" count="1" selected="0">
            <x v="0"/>
          </reference>
          <reference field="5" count="1" selected="0">
            <x v="9"/>
          </reference>
          <reference field="8" count="1">
            <x v="2"/>
          </reference>
        </references>
      </pivotArea>
    </format>
    <format dxfId="666">
      <pivotArea dataOnly="0" labelOnly="1" outline="0" fieldPosition="0">
        <references count="4">
          <reference field="0" count="1" selected="0">
            <x v="3"/>
          </reference>
          <reference field="4" count="1" selected="0">
            <x v="0"/>
          </reference>
          <reference field="5" count="1" selected="0">
            <x v="10"/>
          </reference>
          <reference field="8" count="1">
            <x v="2"/>
          </reference>
        </references>
      </pivotArea>
    </format>
    <format dxfId="665">
      <pivotArea dataOnly="0" labelOnly="1" outline="0" fieldPosition="0">
        <references count="4">
          <reference field="0" count="1" selected="0">
            <x v="6"/>
          </reference>
          <reference field="4" count="1" selected="0">
            <x v="0"/>
          </reference>
          <reference field="5" count="1" selected="0">
            <x v="11"/>
          </reference>
          <reference field="8" count="1">
            <x v="2"/>
          </reference>
        </references>
      </pivotArea>
    </format>
    <format dxfId="664">
      <pivotArea dataOnly="0" labelOnly="1" outline="0" fieldPosition="0">
        <references count="5">
          <reference field="0" count="1" selected="0">
            <x v="9"/>
          </reference>
          <reference field="4" count="1" selected="0">
            <x v="2"/>
          </reference>
          <reference field="5" count="1" selected="0">
            <x v="0"/>
          </reference>
          <reference field="8" count="1" selected="0">
            <x v="6"/>
          </reference>
          <reference field="10" count="1">
            <x v="0"/>
          </reference>
        </references>
      </pivotArea>
    </format>
    <format dxfId="663">
      <pivotArea dataOnly="0" labelOnly="1" outline="0" fieldPosition="0">
        <references count="5">
          <reference field="0" count="1" selected="0">
            <x v="14"/>
          </reference>
          <reference field="4" count="1" selected="0">
            <x v="2"/>
          </reference>
          <reference field="5" count="1" selected="0">
            <x v="0"/>
          </reference>
          <reference field="8" count="1" selected="0">
            <x v="5"/>
          </reference>
          <reference field="10" count="1">
            <x v="2"/>
          </reference>
        </references>
      </pivotArea>
    </format>
    <format dxfId="662">
      <pivotArea dataOnly="0" labelOnly="1" outline="0" fieldPosition="0">
        <references count="5">
          <reference field="0" count="1" selected="0">
            <x v="15"/>
          </reference>
          <reference field="4" count="1" selected="0">
            <x v="2"/>
          </reference>
          <reference field="5" count="1" selected="0">
            <x v="1"/>
          </reference>
          <reference field="8" count="1" selected="0">
            <x v="1"/>
          </reference>
          <reference field="10" count="1">
            <x v="0"/>
          </reference>
        </references>
      </pivotArea>
    </format>
    <format dxfId="661">
      <pivotArea dataOnly="0" labelOnly="1" outline="0" fieldPosition="0">
        <references count="5">
          <reference field="0" count="1" selected="0">
            <x v="16"/>
          </reference>
          <reference field="4" count="1" selected="0">
            <x v="2"/>
          </reference>
          <reference field="5" count="1" selected="0">
            <x v="1"/>
          </reference>
          <reference field="8" count="1" selected="0">
            <x v="1"/>
          </reference>
          <reference field="10" count="1">
            <x v="1"/>
          </reference>
        </references>
      </pivotArea>
    </format>
    <format dxfId="660">
      <pivotArea dataOnly="0" labelOnly="1" outline="0" fieldPosition="0">
        <references count="5">
          <reference field="0" count="1" selected="0">
            <x v="17"/>
          </reference>
          <reference field="4" count="1" selected="0">
            <x v="2"/>
          </reference>
          <reference field="5" count="1" selected="0">
            <x v="1"/>
          </reference>
          <reference field="8" count="1" selected="0">
            <x v="1"/>
          </reference>
          <reference field="10" count="1">
            <x v="0"/>
          </reference>
        </references>
      </pivotArea>
    </format>
    <format dxfId="659">
      <pivotArea dataOnly="0" labelOnly="1" outline="0" fieldPosition="0">
        <references count="5">
          <reference field="0" count="1" selected="0">
            <x v="18"/>
          </reference>
          <reference field="4" count="1" selected="0">
            <x v="2"/>
          </reference>
          <reference field="5" count="1" selected="0">
            <x v="1"/>
          </reference>
          <reference field="8" count="1" selected="0">
            <x v="1"/>
          </reference>
          <reference field="10" count="1">
            <x v="1"/>
          </reference>
        </references>
      </pivotArea>
    </format>
    <format dxfId="658">
      <pivotArea dataOnly="0" labelOnly="1" outline="0" fieldPosition="0">
        <references count="5">
          <reference field="0" count="1" selected="0">
            <x v="19"/>
          </reference>
          <reference field="4" count="1" selected="0">
            <x v="2"/>
          </reference>
          <reference field="5" count="1" selected="0">
            <x v="1"/>
          </reference>
          <reference field="8" count="1" selected="0">
            <x v="1"/>
          </reference>
          <reference field="10" count="1">
            <x v="0"/>
          </reference>
        </references>
      </pivotArea>
    </format>
    <format dxfId="657">
      <pivotArea dataOnly="0" labelOnly="1" outline="0" fieldPosition="0">
        <references count="5">
          <reference field="0" count="1" selected="0">
            <x v="20"/>
          </reference>
          <reference field="4" count="1" selected="0">
            <x v="2"/>
          </reference>
          <reference field="5" count="1" selected="0">
            <x v="1"/>
          </reference>
          <reference field="8" count="1" selected="0">
            <x v="1"/>
          </reference>
          <reference field="10" count="1">
            <x v="1"/>
          </reference>
        </references>
      </pivotArea>
    </format>
    <format dxfId="656">
      <pivotArea dataOnly="0" labelOnly="1" outline="0" fieldPosition="0">
        <references count="5">
          <reference field="0" count="1" selected="0">
            <x v="21"/>
          </reference>
          <reference field="4" count="1" selected="0">
            <x v="2"/>
          </reference>
          <reference field="5" count="1" selected="0">
            <x v="2"/>
          </reference>
          <reference field="8" count="1" selected="0">
            <x v="6"/>
          </reference>
          <reference field="10" count="1">
            <x v="0"/>
          </reference>
        </references>
      </pivotArea>
    </format>
    <format dxfId="655">
      <pivotArea dataOnly="0" labelOnly="1" outline="0" fieldPosition="0">
        <references count="5">
          <reference field="0" count="1" selected="0">
            <x v="26"/>
          </reference>
          <reference field="4" count="1" selected="0">
            <x v="2"/>
          </reference>
          <reference field="5" count="1" selected="0">
            <x v="2"/>
          </reference>
          <reference field="8" count="1" selected="0">
            <x v="5"/>
          </reference>
          <reference field="10" count="1">
            <x v="2"/>
          </reference>
        </references>
      </pivotArea>
    </format>
    <format dxfId="654">
      <pivotArea dataOnly="0" labelOnly="1" outline="0" fieldPosition="0">
        <references count="5">
          <reference field="0" count="1" selected="0">
            <x v="27"/>
          </reference>
          <reference field="4" count="1" selected="0">
            <x v="2"/>
          </reference>
          <reference field="5" count="1" selected="0">
            <x v="3"/>
          </reference>
          <reference field="8" count="1" selected="0">
            <x v="7"/>
          </reference>
          <reference field="10" count="1">
            <x v="0"/>
          </reference>
        </references>
      </pivotArea>
    </format>
    <format dxfId="653">
      <pivotArea dataOnly="0" labelOnly="1" outline="0" fieldPosition="0">
        <references count="5">
          <reference field="0" count="1" selected="0">
            <x v="30"/>
          </reference>
          <reference field="4" count="1" selected="0">
            <x v="2"/>
          </reference>
          <reference field="5" count="1" selected="0">
            <x v="3"/>
          </reference>
          <reference field="8" count="1" selected="0">
            <x v="4"/>
          </reference>
          <reference field="10" count="1">
            <x v="1"/>
          </reference>
        </references>
      </pivotArea>
    </format>
    <format dxfId="652">
      <pivotArea dataOnly="0" labelOnly="1" outline="0" fieldPosition="0">
        <references count="5">
          <reference field="0" count="1" selected="0">
            <x v="31"/>
          </reference>
          <reference field="4" count="1" selected="0">
            <x v="2"/>
          </reference>
          <reference field="5" count="1" selected="0">
            <x v="3"/>
          </reference>
          <reference field="8" count="1" selected="0">
            <x v="0"/>
          </reference>
          <reference field="10" count="1">
            <x v="0"/>
          </reference>
        </references>
      </pivotArea>
    </format>
    <format dxfId="651">
      <pivotArea dataOnly="0" labelOnly="1" outline="0" fieldPosition="0">
        <references count="5">
          <reference field="0" count="1" selected="0">
            <x v="33"/>
          </reference>
          <reference field="4" count="1" selected="0">
            <x v="1"/>
          </reference>
          <reference field="5" count="1" selected="0">
            <x v="4"/>
          </reference>
          <reference field="8" count="1" selected="0">
            <x v="5"/>
          </reference>
          <reference field="10" count="1">
            <x v="2"/>
          </reference>
        </references>
      </pivotArea>
    </format>
    <format dxfId="650">
      <pivotArea dataOnly="0" labelOnly="1" outline="0" fieldPosition="0">
        <references count="5">
          <reference field="0" count="1" selected="0">
            <x v="35"/>
          </reference>
          <reference field="4" count="1" selected="0">
            <x v="1"/>
          </reference>
          <reference field="5" count="1" selected="0">
            <x v="4"/>
          </reference>
          <reference field="8" count="1" selected="0">
            <x v="3"/>
          </reference>
          <reference field="10" count="1">
            <x v="1"/>
          </reference>
        </references>
      </pivotArea>
    </format>
    <format dxfId="649">
      <pivotArea dataOnly="0" labelOnly="1" outline="0" fieldPosition="0">
        <references count="5">
          <reference field="0" count="1" selected="0">
            <x v="37"/>
          </reference>
          <reference field="4" count="1" selected="0">
            <x v="1"/>
          </reference>
          <reference field="5" count="1" selected="0">
            <x v="4"/>
          </reference>
          <reference field="8" count="1" selected="0">
            <x v="5"/>
          </reference>
          <reference field="10" count="1">
            <x v="2"/>
          </reference>
        </references>
      </pivotArea>
    </format>
    <format dxfId="648">
      <pivotArea dataOnly="0" labelOnly="1" outline="0" fieldPosition="0">
        <references count="5">
          <reference field="0" count="1" selected="0">
            <x v="38"/>
          </reference>
          <reference field="4" count="1" selected="0">
            <x v="1"/>
          </reference>
          <reference field="5" count="1" selected="0">
            <x v="4"/>
          </reference>
          <reference field="8" count="1" selected="0">
            <x v="4"/>
          </reference>
          <reference field="10" count="1">
            <x v="1"/>
          </reference>
        </references>
      </pivotArea>
    </format>
    <format dxfId="647">
      <pivotArea dataOnly="0" labelOnly="1" outline="0" fieldPosition="0">
        <references count="5">
          <reference field="0" count="1" selected="0">
            <x v="39"/>
          </reference>
          <reference field="4" count="1" selected="0">
            <x v="1"/>
          </reference>
          <reference field="5" count="1" selected="0">
            <x v="5"/>
          </reference>
          <reference field="8" count="1" selected="0">
            <x v="6"/>
          </reference>
          <reference field="10" count="1">
            <x v="0"/>
          </reference>
        </references>
      </pivotArea>
    </format>
    <format dxfId="646">
      <pivotArea dataOnly="0" labelOnly="1" outline="0" fieldPosition="0">
        <references count="5">
          <reference field="0" count="1" selected="0">
            <x v="52"/>
          </reference>
          <reference field="4" count="1" selected="0">
            <x v="1"/>
          </reference>
          <reference field="5" count="1" selected="0">
            <x v="6"/>
          </reference>
          <reference field="8" count="1" selected="0">
            <x v="3"/>
          </reference>
          <reference field="10" count="1">
            <x v="0"/>
          </reference>
        </references>
      </pivotArea>
    </format>
    <format dxfId="645">
      <pivotArea dataOnly="0" labelOnly="1" outline="0" fieldPosition="0">
        <references count="5">
          <reference field="0" count="1" selected="0">
            <x v="67"/>
          </reference>
          <reference field="4" count="1" selected="0">
            <x v="0"/>
          </reference>
          <reference field="5" count="1" selected="0">
            <x v="7"/>
          </reference>
          <reference field="8" count="1" selected="0">
            <x v="2"/>
          </reference>
          <reference field="10" count="1">
            <x v="0"/>
          </reference>
        </references>
      </pivotArea>
    </format>
    <format dxfId="644">
      <pivotArea dataOnly="0" labelOnly="1" outline="0" fieldPosition="0">
        <references count="5">
          <reference field="0" count="1" selected="0">
            <x v="70"/>
          </reference>
          <reference field="4" count="1" selected="0">
            <x v="0"/>
          </reference>
          <reference field="5" count="1" selected="0">
            <x v="8"/>
          </reference>
          <reference field="8" count="1" selected="0">
            <x v="2"/>
          </reference>
          <reference field="10" count="1">
            <x v="0"/>
          </reference>
        </references>
      </pivotArea>
    </format>
    <format dxfId="643">
      <pivotArea dataOnly="0" labelOnly="1" outline="0" fieldPosition="0">
        <references count="5">
          <reference field="0" count="1" selected="0">
            <x v="0"/>
          </reference>
          <reference field="4" count="1" selected="0">
            <x v="0"/>
          </reference>
          <reference field="5" count="1" selected="0">
            <x v="9"/>
          </reference>
          <reference field="8" count="1" selected="0">
            <x v="2"/>
          </reference>
          <reference field="10" count="1">
            <x v="0"/>
          </reference>
        </references>
      </pivotArea>
    </format>
    <format dxfId="642">
      <pivotArea dataOnly="0" labelOnly="1" outline="0" fieldPosition="0">
        <references count="5">
          <reference field="0" count="1" selected="0">
            <x v="3"/>
          </reference>
          <reference field="4" count="1" selected="0">
            <x v="0"/>
          </reference>
          <reference field="5" count="1" selected="0">
            <x v="10"/>
          </reference>
          <reference field="8" count="1" selected="0">
            <x v="2"/>
          </reference>
          <reference field="10" count="1">
            <x v="0"/>
          </reference>
        </references>
      </pivotArea>
    </format>
    <format dxfId="641">
      <pivotArea dataOnly="0" labelOnly="1" outline="0" fieldPosition="0">
        <references count="5">
          <reference field="0" count="1" selected="0">
            <x v="6"/>
          </reference>
          <reference field="4" count="1" selected="0">
            <x v="0"/>
          </reference>
          <reference field="5" count="1" selected="0">
            <x v="11"/>
          </reference>
          <reference field="8" count="1" selected="0">
            <x v="2"/>
          </reference>
          <reference field="10" count="1">
            <x v="0"/>
          </reference>
        </references>
      </pivotArea>
    </format>
    <format dxfId="640">
      <pivotArea dataOnly="0" labelOnly="1" outline="0" fieldPosition="0">
        <references count="6">
          <reference field="0" count="1" selected="0">
            <x v="9"/>
          </reference>
          <reference field="4" count="1" selected="0">
            <x v="2"/>
          </reference>
          <reference field="5" count="1" selected="0">
            <x v="0"/>
          </reference>
          <reference field="8" count="1" selected="0">
            <x v="6"/>
          </reference>
          <reference field="10" count="1" selected="0">
            <x v="0"/>
          </reference>
          <reference field="12" count="1">
            <x v="16"/>
          </reference>
        </references>
      </pivotArea>
    </format>
    <format dxfId="639">
      <pivotArea dataOnly="0" labelOnly="1" outline="0" fieldPosition="0">
        <references count="6">
          <reference field="0" count="1" selected="0">
            <x v="10"/>
          </reference>
          <reference field="4" count="1" selected="0">
            <x v="2"/>
          </reference>
          <reference field="5" count="1" selected="0">
            <x v="0"/>
          </reference>
          <reference field="8" count="1" selected="0">
            <x v="6"/>
          </reference>
          <reference field="10" count="1" selected="0">
            <x v="0"/>
          </reference>
          <reference field="12" count="1">
            <x v="14"/>
          </reference>
        </references>
      </pivotArea>
    </format>
    <format dxfId="638">
      <pivotArea dataOnly="0" labelOnly="1" outline="0" fieldPosition="0">
        <references count="6">
          <reference field="0" count="1" selected="0">
            <x v="11"/>
          </reference>
          <reference field="4" count="1" selected="0">
            <x v="2"/>
          </reference>
          <reference field="5" count="1" selected="0">
            <x v="0"/>
          </reference>
          <reference field="8" count="1" selected="0">
            <x v="3"/>
          </reference>
          <reference field="10" count="1" selected="0">
            <x v="0"/>
          </reference>
          <reference field="12" count="1">
            <x v="11"/>
          </reference>
        </references>
      </pivotArea>
    </format>
    <format dxfId="637">
      <pivotArea dataOnly="0" labelOnly="1" outline="0" fieldPosition="0">
        <references count="6">
          <reference field="0" count="1" selected="0">
            <x v="12"/>
          </reference>
          <reference field="4" count="1" selected="0">
            <x v="2"/>
          </reference>
          <reference field="5" count="1" selected="0">
            <x v="0"/>
          </reference>
          <reference field="8" count="1" selected="0">
            <x v="7"/>
          </reference>
          <reference field="10" count="1" selected="0">
            <x v="0"/>
          </reference>
          <reference field="12" count="2">
            <x v="5"/>
            <x v="8"/>
          </reference>
        </references>
      </pivotArea>
    </format>
    <format dxfId="636">
      <pivotArea dataOnly="0" labelOnly="1" outline="0" fieldPosition="0">
        <references count="6">
          <reference field="0" count="1" selected="0">
            <x v="13"/>
          </reference>
          <reference field="4" count="1" selected="0">
            <x v="2"/>
          </reference>
          <reference field="5" count="1" selected="0">
            <x v="0"/>
          </reference>
          <reference field="8" count="1" selected="0">
            <x v="7"/>
          </reference>
          <reference field="10" count="1" selected="0">
            <x v="0"/>
          </reference>
          <reference field="12" count="2">
            <x v="15"/>
            <x v="18"/>
          </reference>
        </references>
      </pivotArea>
    </format>
    <format dxfId="635">
      <pivotArea dataOnly="0" labelOnly="1" outline="0" fieldPosition="0">
        <references count="6">
          <reference field="0" count="1" selected="0">
            <x v="14"/>
          </reference>
          <reference field="4" count="1" selected="0">
            <x v="2"/>
          </reference>
          <reference field="5" count="1" selected="0">
            <x v="0"/>
          </reference>
          <reference field="8" count="1" selected="0">
            <x v="5"/>
          </reference>
          <reference field="10" count="1" selected="0">
            <x v="2"/>
          </reference>
          <reference field="12" count="1">
            <x v="34"/>
          </reference>
        </references>
      </pivotArea>
    </format>
    <format dxfId="634">
      <pivotArea dataOnly="0" labelOnly="1" outline="0" fieldPosition="0">
        <references count="6">
          <reference field="0" count="1" selected="0">
            <x v="15"/>
          </reference>
          <reference field="4" count="1" selected="0">
            <x v="2"/>
          </reference>
          <reference field="5" count="1" selected="0">
            <x v="1"/>
          </reference>
          <reference field="8" count="1" selected="0">
            <x v="1"/>
          </reference>
          <reference field="10" count="1" selected="0">
            <x v="0"/>
          </reference>
          <reference field="12" count="1">
            <x v="33"/>
          </reference>
        </references>
      </pivotArea>
    </format>
    <format dxfId="633">
      <pivotArea dataOnly="0" labelOnly="1" outline="0" fieldPosition="0">
        <references count="6">
          <reference field="0" count="1" selected="0">
            <x v="21"/>
          </reference>
          <reference field="4" count="1" selected="0">
            <x v="2"/>
          </reference>
          <reference field="5" count="1" selected="0">
            <x v="2"/>
          </reference>
          <reference field="8" count="1" selected="0">
            <x v="6"/>
          </reference>
          <reference field="10" count="1" selected="0">
            <x v="0"/>
          </reference>
          <reference field="12" count="1">
            <x v="13"/>
          </reference>
        </references>
      </pivotArea>
    </format>
    <format dxfId="632">
      <pivotArea dataOnly="0" labelOnly="1" outline="0" fieldPosition="0">
        <references count="6">
          <reference field="0" count="1" selected="0">
            <x v="22"/>
          </reference>
          <reference field="4" count="1" selected="0">
            <x v="2"/>
          </reference>
          <reference field="5" count="1" selected="0">
            <x v="2"/>
          </reference>
          <reference field="8" count="1" selected="0">
            <x v="6"/>
          </reference>
          <reference field="10" count="1" selected="0">
            <x v="0"/>
          </reference>
          <reference field="12" count="1">
            <x v="17"/>
          </reference>
        </references>
      </pivotArea>
    </format>
    <format dxfId="631">
      <pivotArea dataOnly="0" labelOnly="1" outline="0" fieldPosition="0">
        <references count="6">
          <reference field="0" count="1" selected="0">
            <x v="23"/>
          </reference>
          <reference field="4" count="1" selected="0">
            <x v="2"/>
          </reference>
          <reference field="5" count="1" selected="0">
            <x v="2"/>
          </reference>
          <reference field="8" count="1" selected="0">
            <x v="3"/>
          </reference>
          <reference field="10" count="1" selected="0">
            <x v="0"/>
          </reference>
          <reference field="12" count="1">
            <x v="19"/>
          </reference>
        </references>
      </pivotArea>
    </format>
    <format dxfId="630">
      <pivotArea dataOnly="0" labelOnly="1" outline="0" fieldPosition="0">
        <references count="6">
          <reference field="0" count="1" selected="0">
            <x v="24"/>
          </reference>
          <reference field="4" count="1" selected="0">
            <x v="2"/>
          </reference>
          <reference field="5" count="1" selected="0">
            <x v="2"/>
          </reference>
          <reference field="8" count="1" selected="0">
            <x v="7"/>
          </reference>
          <reference field="10" count="1" selected="0">
            <x v="0"/>
          </reference>
          <reference field="12" count="2">
            <x v="0"/>
            <x v="1"/>
          </reference>
        </references>
      </pivotArea>
    </format>
    <format dxfId="629">
      <pivotArea dataOnly="0" labelOnly="1" outline="0" fieldPosition="0">
        <references count="6">
          <reference field="0" count="1" selected="0">
            <x v="25"/>
          </reference>
          <reference field="4" count="1" selected="0">
            <x v="2"/>
          </reference>
          <reference field="5" count="1" selected="0">
            <x v="2"/>
          </reference>
          <reference field="8" count="1" selected="0">
            <x v="7"/>
          </reference>
          <reference field="10" count="1" selected="0">
            <x v="0"/>
          </reference>
          <reference field="12" count="2">
            <x v="15"/>
            <x v="18"/>
          </reference>
        </references>
      </pivotArea>
    </format>
    <format dxfId="628">
      <pivotArea dataOnly="0" labelOnly="1" outline="0" fieldPosition="0">
        <references count="6">
          <reference field="0" count="1" selected="0">
            <x v="26"/>
          </reference>
          <reference field="4" count="1" selected="0">
            <x v="2"/>
          </reference>
          <reference field="5" count="1" selected="0">
            <x v="2"/>
          </reference>
          <reference field="8" count="1" selected="0">
            <x v="5"/>
          </reference>
          <reference field="10" count="1" selected="0">
            <x v="2"/>
          </reference>
          <reference field="12" count="1">
            <x v="34"/>
          </reference>
        </references>
      </pivotArea>
    </format>
    <format dxfId="627">
      <pivotArea dataOnly="0" labelOnly="1" outline="0" fieldPosition="0">
        <references count="6">
          <reference field="0" count="1" selected="0">
            <x v="27"/>
          </reference>
          <reference field="4" count="1" selected="0">
            <x v="2"/>
          </reference>
          <reference field="5" count="1" selected="0">
            <x v="3"/>
          </reference>
          <reference field="8" count="1" selected="0">
            <x v="7"/>
          </reference>
          <reference field="10" count="1" selected="0">
            <x v="0"/>
          </reference>
          <reference field="12" count="1">
            <x v="6"/>
          </reference>
        </references>
      </pivotArea>
    </format>
    <format dxfId="626">
      <pivotArea dataOnly="0" labelOnly="1" outline="0" fieldPosition="0">
        <references count="6">
          <reference field="0" count="1" selected="0">
            <x v="28"/>
          </reference>
          <reference field="4" count="1" selected="0">
            <x v="2"/>
          </reference>
          <reference field="5" count="1" selected="0">
            <x v="3"/>
          </reference>
          <reference field="8" count="1" selected="0">
            <x v="7"/>
          </reference>
          <reference field="10" count="1" selected="0">
            <x v="0"/>
          </reference>
          <reference field="12" count="1">
            <x v="7"/>
          </reference>
        </references>
      </pivotArea>
    </format>
    <format dxfId="625">
      <pivotArea dataOnly="0" labelOnly="1" outline="0" fieldPosition="0">
        <references count="6">
          <reference field="0" count="1" selected="0">
            <x v="29"/>
          </reference>
          <reference field="4" count="1" selected="0">
            <x v="2"/>
          </reference>
          <reference field="5" count="1" selected="0">
            <x v="3"/>
          </reference>
          <reference field="8" count="1" selected="0">
            <x v="3"/>
          </reference>
          <reference field="10" count="1" selected="0">
            <x v="0"/>
          </reference>
          <reference field="12" count="1">
            <x v="11"/>
          </reference>
        </references>
      </pivotArea>
    </format>
    <format dxfId="624">
      <pivotArea dataOnly="0" labelOnly="1" outline="0" fieldPosition="0">
        <references count="6">
          <reference field="0" count="1" selected="0">
            <x v="30"/>
          </reference>
          <reference field="4" count="1" selected="0">
            <x v="2"/>
          </reference>
          <reference field="5" count="1" selected="0">
            <x v="3"/>
          </reference>
          <reference field="8" count="1" selected="0">
            <x v="4"/>
          </reference>
          <reference field="10" count="1" selected="0">
            <x v="1"/>
          </reference>
          <reference field="12" count="2">
            <x v="5"/>
            <x v="8"/>
          </reference>
        </references>
      </pivotArea>
    </format>
    <format dxfId="623">
      <pivotArea dataOnly="0" labelOnly="1" outline="0" fieldPosition="0">
        <references count="6">
          <reference field="0" count="1" selected="0">
            <x v="31"/>
          </reference>
          <reference field="4" count="1" selected="0">
            <x v="2"/>
          </reference>
          <reference field="5" count="1" selected="0">
            <x v="3"/>
          </reference>
          <reference field="8" count="1" selected="0">
            <x v="0"/>
          </reference>
          <reference field="10" count="1" selected="0">
            <x v="0"/>
          </reference>
          <reference field="12" count="1">
            <x v="9"/>
          </reference>
        </references>
      </pivotArea>
    </format>
    <format dxfId="622">
      <pivotArea dataOnly="0" labelOnly="1" outline="0" fieldPosition="0">
        <references count="6">
          <reference field="0" count="1" selected="0">
            <x v="32"/>
          </reference>
          <reference field="4" count="1" selected="0">
            <x v="2"/>
          </reference>
          <reference field="5" count="1" selected="0">
            <x v="3"/>
          </reference>
          <reference field="8" count="1" selected="0">
            <x v="0"/>
          </reference>
          <reference field="10" count="1" selected="0">
            <x v="0"/>
          </reference>
          <reference field="12" count="1">
            <x v="10"/>
          </reference>
        </references>
      </pivotArea>
    </format>
    <format dxfId="621">
      <pivotArea dataOnly="0" labelOnly="1" outline="0" fieldPosition="0">
        <references count="6">
          <reference field="0" count="1" selected="0">
            <x v="35"/>
          </reference>
          <reference field="4" count="1" selected="0">
            <x v="1"/>
          </reference>
          <reference field="5" count="1" selected="0">
            <x v="4"/>
          </reference>
          <reference field="8" count="1" selected="0">
            <x v="3"/>
          </reference>
          <reference field="10" count="1" selected="0">
            <x v="1"/>
          </reference>
          <reference field="12" count="1">
            <x v="4"/>
          </reference>
        </references>
      </pivotArea>
    </format>
    <format dxfId="620">
      <pivotArea dataOnly="0" labelOnly="1" outline="0" fieldPosition="0">
        <references count="6">
          <reference field="0" count="1" selected="0">
            <x v="36"/>
          </reference>
          <reference field="4" count="1" selected="0">
            <x v="1"/>
          </reference>
          <reference field="5" count="1" selected="0">
            <x v="4"/>
          </reference>
          <reference field="8" count="1" selected="0">
            <x v="3"/>
          </reference>
          <reference field="10" count="1" selected="0">
            <x v="1"/>
          </reference>
          <reference field="12" count="1">
            <x v="3"/>
          </reference>
        </references>
      </pivotArea>
    </format>
    <format dxfId="619">
      <pivotArea dataOnly="0" labelOnly="1" outline="0" fieldPosition="0">
        <references count="6">
          <reference field="0" count="1" selected="0">
            <x v="37"/>
          </reference>
          <reference field="4" count="1" selected="0">
            <x v="1"/>
          </reference>
          <reference field="5" count="1" selected="0">
            <x v="4"/>
          </reference>
          <reference field="8" count="1" selected="0">
            <x v="5"/>
          </reference>
          <reference field="10" count="1" selected="0">
            <x v="2"/>
          </reference>
          <reference field="12" count="1">
            <x v="34"/>
          </reference>
        </references>
      </pivotArea>
    </format>
    <format dxfId="618">
      <pivotArea dataOnly="0" labelOnly="1" outline="0" fieldPosition="0">
        <references count="6">
          <reference field="0" count="1" selected="0">
            <x v="38"/>
          </reference>
          <reference field="4" count="1" selected="0">
            <x v="1"/>
          </reference>
          <reference field="5" count="1" selected="0">
            <x v="4"/>
          </reference>
          <reference field="8" count="1" selected="0">
            <x v="4"/>
          </reference>
          <reference field="10" count="1" selected="0">
            <x v="1"/>
          </reference>
          <reference field="12" count="3">
            <x v="0"/>
            <x v="1"/>
            <x v="2"/>
          </reference>
        </references>
      </pivotArea>
    </format>
    <format dxfId="617">
      <pivotArea dataOnly="0" labelOnly="1" outline="0" fieldPosition="0">
        <references count="6">
          <reference field="0" count="1" selected="0">
            <x v="39"/>
          </reference>
          <reference field="4" count="1" selected="0">
            <x v="1"/>
          </reference>
          <reference field="5" count="1" selected="0">
            <x v="5"/>
          </reference>
          <reference field="8" count="1" selected="0">
            <x v="6"/>
          </reference>
          <reference field="10" count="1" selected="0">
            <x v="0"/>
          </reference>
          <reference field="12" count="1">
            <x v="22"/>
          </reference>
        </references>
      </pivotArea>
    </format>
    <format dxfId="616">
      <pivotArea dataOnly="0" labelOnly="1" outline="0" fieldPosition="0">
        <references count="6">
          <reference field="0" count="1" selected="0">
            <x v="40"/>
          </reference>
          <reference field="4" count="1" selected="0">
            <x v="1"/>
          </reference>
          <reference field="5" count="1" selected="0">
            <x v="5"/>
          </reference>
          <reference field="8" count="1" selected="0">
            <x v="3"/>
          </reference>
          <reference field="10" count="1" selected="0">
            <x v="0"/>
          </reference>
          <reference field="12" count="1">
            <x v="12"/>
          </reference>
        </references>
      </pivotArea>
    </format>
    <format dxfId="615">
      <pivotArea dataOnly="0" labelOnly="1" outline="0" fieldPosition="0">
        <references count="6">
          <reference field="0" count="1" selected="0">
            <x v="43"/>
          </reference>
          <reference field="4" count="1" selected="0">
            <x v="1"/>
          </reference>
          <reference field="5" count="1" selected="0">
            <x v="5"/>
          </reference>
          <reference field="8" count="1" selected="0">
            <x v="3"/>
          </reference>
          <reference field="10" count="1" selected="0">
            <x v="0"/>
          </reference>
          <reference field="12" count="1">
            <x v="21"/>
          </reference>
        </references>
      </pivotArea>
    </format>
    <format dxfId="614">
      <pivotArea dataOnly="0" labelOnly="1" outline="0" fieldPosition="0">
        <references count="6">
          <reference field="0" count="1" selected="0">
            <x v="44"/>
          </reference>
          <reference field="4" count="1" selected="0">
            <x v="1"/>
          </reference>
          <reference field="5" count="1" selected="0">
            <x v="5"/>
          </reference>
          <reference field="8" count="1" selected="0">
            <x v="3"/>
          </reference>
          <reference field="10" count="1" selected="0">
            <x v="0"/>
          </reference>
          <reference field="12" count="2">
            <x v="13"/>
            <x v="16"/>
          </reference>
        </references>
      </pivotArea>
    </format>
    <format dxfId="613">
      <pivotArea dataOnly="0" labelOnly="1" outline="0" fieldPosition="0">
        <references count="6">
          <reference field="0" count="1" selected="0">
            <x v="49"/>
          </reference>
          <reference field="4" count="1" selected="0">
            <x v="1"/>
          </reference>
          <reference field="5" count="1" selected="0">
            <x v="5"/>
          </reference>
          <reference field="8" count="1" selected="0">
            <x v="7"/>
          </reference>
          <reference field="10" count="1" selected="0">
            <x v="0"/>
          </reference>
          <reference field="12" count="1">
            <x v="15"/>
          </reference>
        </references>
      </pivotArea>
    </format>
    <format dxfId="612">
      <pivotArea dataOnly="0" labelOnly="1" outline="0" fieldPosition="0">
        <references count="6">
          <reference field="0" count="1" selected="0">
            <x v="50"/>
          </reference>
          <reference field="4" count="1" selected="0">
            <x v="1"/>
          </reference>
          <reference field="5" count="1" selected="0">
            <x v="5"/>
          </reference>
          <reference field="8" count="1" selected="0">
            <x v="6"/>
          </reference>
          <reference field="10" count="1" selected="0">
            <x v="0"/>
          </reference>
          <reference field="12" count="1">
            <x v="20"/>
          </reference>
        </references>
      </pivotArea>
    </format>
    <format dxfId="611">
      <pivotArea dataOnly="0" labelOnly="1" outline="0" fieldPosition="0">
        <references count="6">
          <reference field="0" count="1" selected="0">
            <x v="52"/>
          </reference>
          <reference field="4" count="1" selected="0">
            <x v="1"/>
          </reference>
          <reference field="5" count="1" selected="0">
            <x v="6"/>
          </reference>
          <reference field="8" count="1" selected="0">
            <x v="3"/>
          </reference>
          <reference field="10" count="1" selected="0">
            <x v="0"/>
          </reference>
          <reference field="12" count="1">
            <x v="21"/>
          </reference>
        </references>
      </pivotArea>
    </format>
    <format dxfId="610">
      <pivotArea dataOnly="0" labelOnly="1" outline="0" fieldPosition="0">
        <references count="6">
          <reference field="0" count="1" selected="0">
            <x v="53"/>
          </reference>
          <reference field="4" count="1" selected="0">
            <x v="1"/>
          </reference>
          <reference field="5" count="1" selected="0">
            <x v="6"/>
          </reference>
          <reference field="8" count="1" selected="0">
            <x v="6"/>
          </reference>
          <reference field="10" count="1" selected="0">
            <x v="0"/>
          </reference>
          <reference field="12" count="1">
            <x v="15"/>
          </reference>
        </references>
      </pivotArea>
    </format>
    <format dxfId="609">
      <pivotArea dataOnly="0" labelOnly="1" outline="0" fieldPosition="0">
        <references count="6">
          <reference field="0" count="1" selected="0">
            <x v="58"/>
          </reference>
          <reference field="4" count="1" selected="0">
            <x v="1"/>
          </reference>
          <reference field="5" count="1" selected="0">
            <x v="6"/>
          </reference>
          <reference field="8" count="1" selected="0">
            <x v="3"/>
          </reference>
          <reference field="10" count="1" selected="0">
            <x v="0"/>
          </reference>
          <reference field="12" count="1">
            <x v="24"/>
          </reference>
        </references>
      </pivotArea>
    </format>
    <format dxfId="608">
      <pivotArea dataOnly="0" labelOnly="1" outline="0" fieldPosition="0">
        <references count="6">
          <reference field="0" count="1" selected="0">
            <x v="64"/>
          </reference>
          <reference field="4" count="1" selected="0">
            <x v="1"/>
          </reference>
          <reference field="5" count="1" selected="0">
            <x v="6"/>
          </reference>
          <reference field="8" count="1" selected="0">
            <x v="6"/>
          </reference>
          <reference field="10" count="1" selected="0">
            <x v="0"/>
          </reference>
          <reference field="12" count="1">
            <x v="35"/>
          </reference>
        </references>
      </pivotArea>
    </format>
    <format dxfId="607">
      <pivotArea dataOnly="0" labelOnly="1" outline="0" fieldPosition="0">
        <references count="6">
          <reference field="0" count="1" selected="0">
            <x v="65"/>
          </reference>
          <reference field="4" count="1" selected="0">
            <x v="1"/>
          </reference>
          <reference field="5" count="1" selected="0">
            <x v="6"/>
          </reference>
          <reference field="8" count="1" selected="0">
            <x v="7"/>
          </reference>
          <reference field="10" count="1" selected="0">
            <x v="0"/>
          </reference>
          <reference field="12" count="2">
            <x v="0"/>
            <x v="1"/>
          </reference>
        </references>
      </pivotArea>
    </format>
    <format dxfId="606">
      <pivotArea dataOnly="0" labelOnly="1" outline="0" fieldPosition="0">
        <references count="6">
          <reference field="0" count="1" selected="0">
            <x v="67"/>
          </reference>
          <reference field="4" count="1" selected="0">
            <x v="0"/>
          </reference>
          <reference field="5" count="1" selected="0">
            <x v="7"/>
          </reference>
          <reference field="8" count="1" selected="0">
            <x v="2"/>
          </reference>
          <reference field="10" count="1" selected="0">
            <x v="0"/>
          </reference>
          <reference field="12" count="1">
            <x v="25"/>
          </reference>
        </references>
      </pivotArea>
    </format>
    <format dxfId="605">
      <pivotArea dataOnly="0" labelOnly="1" outline="0" fieldPosition="0">
        <references count="6">
          <reference field="0" count="1" selected="0">
            <x v="68"/>
          </reference>
          <reference field="4" count="1" selected="0">
            <x v="0"/>
          </reference>
          <reference field="5" count="1" selected="0">
            <x v="7"/>
          </reference>
          <reference field="8" count="1" selected="0">
            <x v="2"/>
          </reference>
          <reference field="10" count="1" selected="0">
            <x v="0"/>
          </reference>
          <reference field="12" count="1">
            <x v="26"/>
          </reference>
        </references>
      </pivotArea>
    </format>
    <format dxfId="604">
      <pivotArea dataOnly="0" labelOnly="1" outline="0" fieldPosition="0">
        <references count="6">
          <reference field="0" count="1" selected="0">
            <x v="69"/>
          </reference>
          <reference field="4" count="1" selected="0">
            <x v="0"/>
          </reference>
          <reference field="5" count="1" selected="0">
            <x v="7"/>
          </reference>
          <reference field="8" count="1" selected="0">
            <x v="2"/>
          </reference>
          <reference field="10" count="1" selected="0">
            <x v="0"/>
          </reference>
          <reference field="12" count="1">
            <x v="25"/>
          </reference>
        </references>
      </pivotArea>
    </format>
    <format dxfId="603">
      <pivotArea dataOnly="0" labelOnly="1" outline="0" fieldPosition="0">
        <references count="6">
          <reference field="0" count="1" selected="0">
            <x v="70"/>
          </reference>
          <reference field="4" count="1" selected="0">
            <x v="0"/>
          </reference>
          <reference field="5" count="1" selected="0">
            <x v="8"/>
          </reference>
          <reference field="8" count="1" selected="0">
            <x v="2"/>
          </reference>
          <reference field="10" count="1" selected="0">
            <x v="0"/>
          </reference>
          <reference field="12" count="1">
            <x v="8"/>
          </reference>
        </references>
      </pivotArea>
    </format>
    <format dxfId="602">
      <pivotArea dataOnly="0" labelOnly="1" outline="0" fieldPosition="0">
        <references count="6">
          <reference field="0" count="1" selected="0">
            <x v="71"/>
          </reference>
          <reference field="4" count="1" selected="0">
            <x v="0"/>
          </reference>
          <reference field="5" count="1" selected="0">
            <x v="8"/>
          </reference>
          <reference field="8" count="1" selected="0">
            <x v="2"/>
          </reference>
          <reference field="10" count="1" selected="0">
            <x v="0"/>
          </reference>
          <reference field="12" count="1">
            <x v="20"/>
          </reference>
        </references>
      </pivotArea>
    </format>
    <format dxfId="601">
      <pivotArea dataOnly="0" labelOnly="1" outline="0" fieldPosition="0">
        <references count="6">
          <reference field="0" count="1" selected="0">
            <x v="72"/>
          </reference>
          <reference field="4" count="1" selected="0">
            <x v="0"/>
          </reference>
          <reference field="5" count="1" selected="0">
            <x v="8"/>
          </reference>
          <reference field="8" count="1" selected="0">
            <x v="2"/>
          </reference>
          <reference field="10" count="1" selected="0">
            <x v="0"/>
          </reference>
          <reference field="12" count="1">
            <x v="27"/>
          </reference>
        </references>
      </pivotArea>
    </format>
    <format dxfId="600">
      <pivotArea dataOnly="0" labelOnly="1" outline="0" fieldPosition="0">
        <references count="6">
          <reference field="0" count="1" selected="0">
            <x v="0"/>
          </reference>
          <reference field="4" count="1" selected="0">
            <x v="0"/>
          </reference>
          <reference field="5" count="1" selected="0">
            <x v="9"/>
          </reference>
          <reference field="8" count="1" selected="0">
            <x v="2"/>
          </reference>
          <reference field="10" count="1" selected="0">
            <x v="0"/>
          </reference>
          <reference field="12" count="1">
            <x v="28"/>
          </reference>
        </references>
      </pivotArea>
    </format>
    <format dxfId="599">
      <pivotArea dataOnly="0" labelOnly="1" outline="0" fieldPosition="0">
        <references count="6">
          <reference field="0" count="1" selected="0">
            <x v="1"/>
          </reference>
          <reference field="4" count="1" selected="0">
            <x v="0"/>
          </reference>
          <reference field="5" count="1" selected="0">
            <x v="9"/>
          </reference>
          <reference field="8" count="1" selected="0">
            <x v="2"/>
          </reference>
          <reference field="10" count="1" selected="0">
            <x v="0"/>
          </reference>
          <reference field="12" count="1">
            <x v="31"/>
          </reference>
        </references>
      </pivotArea>
    </format>
    <format dxfId="598">
      <pivotArea dataOnly="0" labelOnly="1" outline="0" fieldPosition="0">
        <references count="6">
          <reference field="0" count="1" selected="0">
            <x v="2"/>
          </reference>
          <reference field="4" count="1" selected="0">
            <x v="0"/>
          </reference>
          <reference field="5" count="1" selected="0">
            <x v="9"/>
          </reference>
          <reference field="8" count="1" selected="0">
            <x v="2"/>
          </reference>
          <reference field="10" count="1" selected="0">
            <x v="0"/>
          </reference>
          <reference field="12" count="1">
            <x v="28"/>
          </reference>
        </references>
      </pivotArea>
    </format>
    <format dxfId="597">
      <pivotArea dataOnly="0" labelOnly="1" outline="0" fieldPosition="0">
        <references count="6">
          <reference field="0" count="1" selected="0">
            <x v="3"/>
          </reference>
          <reference field="4" count="1" selected="0">
            <x v="0"/>
          </reference>
          <reference field="5" count="1" selected="0">
            <x v="10"/>
          </reference>
          <reference field="8" count="1" selected="0">
            <x v="2"/>
          </reference>
          <reference field="10" count="1" selected="0">
            <x v="0"/>
          </reference>
          <reference field="12" count="1">
            <x v="29"/>
          </reference>
        </references>
      </pivotArea>
    </format>
    <format dxfId="596">
      <pivotArea dataOnly="0" labelOnly="1" outline="0" fieldPosition="0">
        <references count="6">
          <reference field="0" count="1" selected="0">
            <x v="4"/>
          </reference>
          <reference field="4" count="1" selected="0">
            <x v="0"/>
          </reference>
          <reference field="5" count="1" selected="0">
            <x v="10"/>
          </reference>
          <reference field="8" count="1" selected="0">
            <x v="2"/>
          </reference>
          <reference field="10" count="1" selected="0">
            <x v="0"/>
          </reference>
          <reference field="12" count="1">
            <x v="32"/>
          </reference>
        </references>
      </pivotArea>
    </format>
    <format dxfId="595">
      <pivotArea dataOnly="0" labelOnly="1" outline="0" fieldPosition="0">
        <references count="6">
          <reference field="0" count="1" selected="0">
            <x v="5"/>
          </reference>
          <reference field="4" count="1" selected="0">
            <x v="0"/>
          </reference>
          <reference field="5" count="1" selected="0">
            <x v="10"/>
          </reference>
          <reference field="8" count="1" selected="0">
            <x v="2"/>
          </reference>
          <reference field="10" count="1" selected="0">
            <x v="0"/>
          </reference>
          <reference field="12" count="1">
            <x v="29"/>
          </reference>
        </references>
      </pivotArea>
    </format>
    <format dxfId="594">
      <pivotArea dataOnly="0" labelOnly="1" outline="0" fieldPosition="0">
        <references count="6">
          <reference field="0" count="1" selected="0">
            <x v="6"/>
          </reference>
          <reference field="4" count="1" selected="0">
            <x v="0"/>
          </reference>
          <reference field="5" count="1" selected="0">
            <x v="11"/>
          </reference>
          <reference field="8" count="1" selected="0">
            <x v="2"/>
          </reference>
          <reference field="10" count="1" selected="0">
            <x v="0"/>
          </reference>
          <reference field="12" count="1">
            <x v="30"/>
          </reference>
        </references>
      </pivotArea>
    </format>
    <format dxfId="593">
      <pivotArea dataOnly="0" labelOnly="1" outline="0" fieldPosition="0">
        <references count="6">
          <reference field="0" count="1" selected="0">
            <x v="7"/>
          </reference>
          <reference field="4" count="1" selected="0">
            <x v="0"/>
          </reference>
          <reference field="5" count="1" selected="0">
            <x v="11"/>
          </reference>
          <reference field="8" count="1" selected="0">
            <x v="2"/>
          </reference>
          <reference field="10" count="1" selected="0">
            <x v="0"/>
          </reference>
          <reference field="12" count="1">
            <x v="32"/>
          </reference>
        </references>
      </pivotArea>
    </format>
    <format dxfId="592">
      <pivotArea dataOnly="0" labelOnly="1" outline="0" fieldPosition="0">
        <references count="6">
          <reference field="0" count="1" selected="0">
            <x v="8"/>
          </reference>
          <reference field="4" count="1" selected="0">
            <x v="0"/>
          </reference>
          <reference field="5" count="1" selected="0">
            <x v="11"/>
          </reference>
          <reference field="8" count="1" selected="0">
            <x v="2"/>
          </reference>
          <reference field="10" count="1" selected="0">
            <x v="0"/>
          </reference>
          <reference field="12" count="1">
            <x v="30"/>
          </reference>
        </references>
      </pivotArea>
    </format>
    <format dxfId="591">
      <pivotArea dataOnly="0" labelOnly="1" outline="0" fieldPosition="0">
        <references count="7">
          <reference field="0" count="1" selected="0">
            <x v="9"/>
          </reference>
          <reference field="4" count="1" selected="0">
            <x v="2"/>
          </reference>
          <reference field="5" count="1" selected="0">
            <x v="0"/>
          </reference>
          <reference field="8" count="1" selected="0">
            <x v="6"/>
          </reference>
          <reference field="10" count="1" selected="0">
            <x v="0"/>
          </reference>
          <reference field="11" count="1">
            <x v="4"/>
          </reference>
          <reference field="12" count="1" selected="0">
            <x v="16"/>
          </reference>
        </references>
      </pivotArea>
    </format>
    <format dxfId="590">
      <pivotArea dataOnly="0" labelOnly="1" outline="0" fieldPosition="0">
        <references count="7">
          <reference field="0" count="1" selected="0">
            <x v="12"/>
          </reference>
          <reference field="4" count="1" selected="0">
            <x v="2"/>
          </reference>
          <reference field="5" count="1" selected="0">
            <x v="0"/>
          </reference>
          <reference field="8" count="1" selected="0">
            <x v="7"/>
          </reference>
          <reference field="10" count="1" selected="0">
            <x v="0"/>
          </reference>
          <reference field="11" count="1">
            <x v="0"/>
          </reference>
          <reference field="12" count="1" selected="0">
            <x v="5"/>
          </reference>
        </references>
      </pivotArea>
    </format>
    <format dxfId="589">
      <pivotArea dataOnly="0" labelOnly="1" outline="0" fieldPosition="0">
        <references count="7">
          <reference field="0" count="1" selected="0">
            <x v="13"/>
          </reference>
          <reference field="4" count="1" selected="0">
            <x v="2"/>
          </reference>
          <reference field="5" count="1" selected="0">
            <x v="0"/>
          </reference>
          <reference field="8" count="1" selected="0">
            <x v="7"/>
          </reference>
          <reference field="10" count="1" selected="0">
            <x v="0"/>
          </reference>
          <reference field="11" count="1">
            <x v="1"/>
          </reference>
          <reference field="12" count="1" selected="0">
            <x v="18"/>
          </reference>
        </references>
      </pivotArea>
    </format>
    <format dxfId="588">
      <pivotArea dataOnly="0" labelOnly="1" outline="0" fieldPosition="0">
        <references count="7">
          <reference field="0" count="1" selected="0">
            <x v="14"/>
          </reference>
          <reference field="4" count="1" selected="0">
            <x v="2"/>
          </reference>
          <reference field="5" count="1" selected="0">
            <x v="0"/>
          </reference>
          <reference field="8" count="1" selected="0">
            <x v="5"/>
          </reference>
          <reference field="10" count="1" selected="0">
            <x v="2"/>
          </reference>
          <reference field="11" count="1">
            <x v="7"/>
          </reference>
          <reference field="12" count="1" selected="0">
            <x v="34"/>
          </reference>
        </references>
      </pivotArea>
    </format>
    <format dxfId="587">
      <pivotArea dataOnly="0" labelOnly="1" outline="0" fieldPosition="0">
        <references count="7">
          <reference field="0" count="1" selected="0">
            <x v="15"/>
          </reference>
          <reference field="4" count="1" selected="0">
            <x v="2"/>
          </reference>
          <reference field="5" count="1" selected="0">
            <x v="1"/>
          </reference>
          <reference field="8" count="1" selected="0">
            <x v="1"/>
          </reference>
          <reference field="10" count="1" selected="0">
            <x v="0"/>
          </reference>
          <reference field="11" count="1">
            <x v="7"/>
          </reference>
          <reference field="12" count="1" selected="0">
            <x v="33"/>
          </reference>
        </references>
      </pivotArea>
    </format>
    <format dxfId="586">
      <pivotArea dataOnly="0" labelOnly="1" outline="0" fieldPosition="0">
        <references count="7">
          <reference field="0" count="1" selected="0">
            <x v="21"/>
          </reference>
          <reference field="4" count="1" selected="0">
            <x v="2"/>
          </reference>
          <reference field="5" count="1" selected="0">
            <x v="2"/>
          </reference>
          <reference field="8" count="1" selected="0">
            <x v="6"/>
          </reference>
          <reference field="10" count="1" selected="0">
            <x v="0"/>
          </reference>
          <reference field="11" count="1">
            <x v="2"/>
          </reference>
          <reference field="12" count="1" selected="0">
            <x v="13"/>
          </reference>
        </references>
      </pivotArea>
    </format>
    <format dxfId="585">
      <pivotArea dataOnly="0" labelOnly="1" outline="0" fieldPosition="0">
        <references count="7">
          <reference field="0" count="1" selected="0">
            <x v="22"/>
          </reference>
          <reference field="4" count="1" selected="0">
            <x v="2"/>
          </reference>
          <reference field="5" count="1" selected="0">
            <x v="2"/>
          </reference>
          <reference field="8" count="1" selected="0">
            <x v="6"/>
          </reference>
          <reference field="10" count="1" selected="0">
            <x v="0"/>
          </reference>
          <reference field="11" count="1">
            <x v="4"/>
          </reference>
          <reference field="12" count="1" selected="0">
            <x v="17"/>
          </reference>
        </references>
      </pivotArea>
    </format>
    <format dxfId="584">
      <pivotArea dataOnly="0" labelOnly="1" outline="0" fieldPosition="0">
        <references count="7">
          <reference field="0" count="1" selected="0">
            <x v="24"/>
          </reference>
          <reference field="4" count="1" selected="0">
            <x v="2"/>
          </reference>
          <reference field="5" count="1" selected="0">
            <x v="2"/>
          </reference>
          <reference field="8" count="1" selected="0">
            <x v="7"/>
          </reference>
          <reference field="10" count="1" selected="0">
            <x v="0"/>
          </reference>
          <reference field="11" count="1">
            <x v="0"/>
          </reference>
          <reference field="12" count="1" selected="0">
            <x v="0"/>
          </reference>
        </references>
      </pivotArea>
    </format>
    <format dxfId="583">
      <pivotArea dataOnly="0" labelOnly="1" outline="0" fieldPosition="0">
        <references count="7">
          <reference field="0" count="1" selected="0">
            <x v="25"/>
          </reference>
          <reference field="4" count="1" selected="0">
            <x v="2"/>
          </reference>
          <reference field="5" count="1" selected="0">
            <x v="2"/>
          </reference>
          <reference field="8" count="1" selected="0">
            <x v="7"/>
          </reference>
          <reference field="10" count="1" selected="0">
            <x v="0"/>
          </reference>
          <reference field="11" count="1">
            <x v="1"/>
          </reference>
          <reference field="12" count="1" selected="0">
            <x v="18"/>
          </reference>
        </references>
      </pivotArea>
    </format>
    <format dxfId="582">
      <pivotArea dataOnly="0" labelOnly="1" outline="0" fieldPosition="0">
        <references count="7">
          <reference field="0" count="1" selected="0">
            <x v="26"/>
          </reference>
          <reference field="4" count="1" selected="0">
            <x v="2"/>
          </reference>
          <reference field="5" count="1" selected="0">
            <x v="2"/>
          </reference>
          <reference field="8" count="1" selected="0">
            <x v="5"/>
          </reference>
          <reference field="10" count="1" selected="0">
            <x v="2"/>
          </reference>
          <reference field="11" count="1">
            <x v="7"/>
          </reference>
          <reference field="12" count="1" selected="0">
            <x v="34"/>
          </reference>
        </references>
      </pivotArea>
    </format>
    <format dxfId="581">
      <pivotArea dataOnly="0" labelOnly="1" outline="0" fieldPosition="0">
        <references count="7">
          <reference field="0" count="1" selected="0">
            <x v="27"/>
          </reference>
          <reference field="4" count="1" selected="0">
            <x v="2"/>
          </reference>
          <reference field="5" count="1" selected="0">
            <x v="3"/>
          </reference>
          <reference field="8" count="1" selected="0">
            <x v="7"/>
          </reference>
          <reference field="10" count="1" selected="0">
            <x v="0"/>
          </reference>
          <reference field="11" count="1">
            <x v="6"/>
          </reference>
          <reference field="12" count="1" selected="0">
            <x v="6"/>
          </reference>
        </references>
      </pivotArea>
    </format>
    <format dxfId="580">
      <pivotArea dataOnly="0" labelOnly="1" outline="0" fieldPosition="0">
        <references count="7">
          <reference field="0" count="1" selected="0">
            <x v="29"/>
          </reference>
          <reference field="4" count="1" selected="0">
            <x v="2"/>
          </reference>
          <reference field="5" count="1" selected="0">
            <x v="3"/>
          </reference>
          <reference field="8" count="1" selected="0">
            <x v="3"/>
          </reference>
          <reference field="10" count="1" selected="0">
            <x v="0"/>
          </reference>
          <reference field="11" count="1">
            <x v="4"/>
          </reference>
          <reference field="12" count="1" selected="0">
            <x v="11"/>
          </reference>
        </references>
      </pivotArea>
    </format>
    <format dxfId="579">
      <pivotArea dataOnly="0" labelOnly="1" outline="0" fieldPosition="0">
        <references count="7">
          <reference field="0" count="1" selected="0">
            <x v="30"/>
          </reference>
          <reference field="4" count="1" selected="0">
            <x v="2"/>
          </reference>
          <reference field="5" count="1" selected="0">
            <x v="3"/>
          </reference>
          <reference field="8" count="1" selected="0">
            <x v="4"/>
          </reference>
          <reference field="10" count="1" selected="0">
            <x v="1"/>
          </reference>
          <reference field="11" count="1">
            <x v="0"/>
          </reference>
          <reference field="12" count="1" selected="0">
            <x v="5"/>
          </reference>
        </references>
      </pivotArea>
    </format>
    <format dxfId="578">
      <pivotArea dataOnly="0" labelOnly="1" outline="0" fieldPosition="0">
        <references count="7">
          <reference field="0" count="1" selected="0">
            <x v="31"/>
          </reference>
          <reference field="4" count="1" selected="0">
            <x v="2"/>
          </reference>
          <reference field="5" count="1" selected="0">
            <x v="3"/>
          </reference>
          <reference field="8" count="1" selected="0">
            <x v="0"/>
          </reference>
          <reference field="10" count="1" selected="0">
            <x v="0"/>
          </reference>
          <reference field="11" count="1">
            <x v="6"/>
          </reference>
          <reference field="12" count="1" selected="0">
            <x v="9"/>
          </reference>
        </references>
      </pivotArea>
    </format>
    <format dxfId="577">
      <pivotArea dataOnly="0" labelOnly="1" outline="0" fieldPosition="0">
        <references count="7">
          <reference field="0" count="1" selected="0">
            <x v="35"/>
          </reference>
          <reference field="4" count="1" selected="0">
            <x v="1"/>
          </reference>
          <reference field="5" count="1" selected="0">
            <x v="4"/>
          </reference>
          <reference field="8" count="1" selected="0">
            <x v="3"/>
          </reference>
          <reference field="10" count="1" selected="0">
            <x v="1"/>
          </reference>
          <reference field="11" count="1">
            <x v="4"/>
          </reference>
          <reference field="12" count="1" selected="0">
            <x v="4"/>
          </reference>
        </references>
      </pivotArea>
    </format>
    <format dxfId="576">
      <pivotArea dataOnly="0" labelOnly="1" outline="0" fieldPosition="0">
        <references count="7">
          <reference field="0" count="1" selected="0">
            <x v="37"/>
          </reference>
          <reference field="4" count="1" selected="0">
            <x v="1"/>
          </reference>
          <reference field="5" count="1" selected="0">
            <x v="4"/>
          </reference>
          <reference field="8" count="1" selected="0">
            <x v="5"/>
          </reference>
          <reference field="10" count="1" selected="0">
            <x v="2"/>
          </reference>
          <reference field="11" count="1">
            <x v="7"/>
          </reference>
          <reference field="12" count="1" selected="0">
            <x v="34"/>
          </reference>
        </references>
      </pivotArea>
    </format>
    <format dxfId="575">
      <pivotArea dataOnly="0" labelOnly="1" outline="0" fieldPosition="0">
        <references count="7">
          <reference field="0" count="1" selected="0">
            <x v="38"/>
          </reference>
          <reference field="4" count="1" selected="0">
            <x v="1"/>
          </reference>
          <reference field="5" count="1" selected="0">
            <x v="4"/>
          </reference>
          <reference field="8" count="1" selected="0">
            <x v="4"/>
          </reference>
          <reference field="10" count="1" selected="0">
            <x v="1"/>
          </reference>
          <reference field="11" count="1">
            <x v="0"/>
          </reference>
          <reference field="12" count="1" selected="0">
            <x v="0"/>
          </reference>
        </references>
      </pivotArea>
    </format>
    <format dxfId="574">
      <pivotArea dataOnly="0" labelOnly="1" outline="0" fieldPosition="0">
        <references count="7">
          <reference field="0" count="1" selected="0">
            <x v="39"/>
          </reference>
          <reference field="4" count="1" selected="0">
            <x v="1"/>
          </reference>
          <reference field="5" count="1" selected="0">
            <x v="5"/>
          </reference>
          <reference field="8" count="1" selected="0">
            <x v="6"/>
          </reference>
          <reference field="10" count="1" selected="0">
            <x v="0"/>
          </reference>
          <reference field="11" count="1">
            <x v="1"/>
          </reference>
          <reference field="12" count="1" selected="0">
            <x v="22"/>
          </reference>
        </references>
      </pivotArea>
    </format>
    <format dxfId="573">
      <pivotArea dataOnly="0" labelOnly="1" outline="0" fieldPosition="0">
        <references count="7">
          <reference field="0" count="1" selected="0">
            <x v="40"/>
          </reference>
          <reference field="4" count="1" selected="0">
            <x v="1"/>
          </reference>
          <reference field="5" count="1" selected="0">
            <x v="5"/>
          </reference>
          <reference field="8" count="1" selected="0">
            <x v="3"/>
          </reference>
          <reference field="10" count="1" selected="0">
            <x v="0"/>
          </reference>
          <reference field="11" count="1">
            <x v="6"/>
          </reference>
          <reference field="12" count="1" selected="0">
            <x v="12"/>
          </reference>
        </references>
      </pivotArea>
    </format>
    <format dxfId="572">
      <pivotArea dataOnly="0" labelOnly="1" outline="0" fieldPosition="0">
        <references count="7">
          <reference field="0" count="1" selected="0">
            <x v="43"/>
          </reference>
          <reference field="4" count="1" selected="0">
            <x v="1"/>
          </reference>
          <reference field="5" count="1" selected="0">
            <x v="5"/>
          </reference>
          <reference field="8" count="1" selected="0">
            <x v="3"/>
          </reference>
          <reference field="10" count="1" selected="0">
            <x v="0"/>
          </reference>
          <reference field="11" count="1">
            <x v="4"/>
          </reference>
          <reference field="12" count="1" selected="0">
            <x v="21"/>
          </reference>
        </references>
      </pivotArea>
    </format>
    <format dxfId="571">
      <pivotArea dataOnly="0" labelOnly="1" outline="0" fieldPosition="0">
        <references count="7">
          <reference field="0" count="1" selected="0">
            <x v="44"/>
          </reference>
          <reference field="4" count="1" selected="0">
            <x v="1"/>
          </reference>
          <reference field="5" count="1" selected="0">
            <x v="5"/>
          </reference>
          <reference field="8" count="1" selected="0">
            <x v="3"/>
          </reference>
          <reference field="10" count="1" selected="0">
            <x v="0"/>
          </reference>
          <reference field="11" count="1">
            <x v="1"/>
          </reference>
          <reference field="12" count="1" selected="0">
            <x v="13"/>
          </reference>
        </references>
      </pivotArea>
    </format>
    <format dxfId="570">
      <pivotArea dataOnly="0" labelOnly="1" outline="0" fieldPosition="0">
        <references count="7">
          <reference field="0" count="1" selected="0">
            <x v="49"/>
          </reference>
          <reference field="4" count="1" selected="0">
            <x v="1"/>
          </reference>
          <reference field="5" count="1" selected="0">
            <x v="5"/>
          </reference>
          <reference field="8" count="1" selected="0">
            <x v="7"/>
          </reference>
          <reference field="10" count="1" selected="0">
            <x v="0"/>
          </reference>
          <reference field="11" count="1">
            <x v="0"/>
          </reference>
          <reference field="12" count="1" selected="0">
            <x v="15"/>
          </reference>
        </references>
      </pivotArea>
    </format>
    <format dxfId="569">
      <pivotArea dataOnly="0" labelOnly="1" outline="0" fieldPosition="0">
        <references count="7">
          <reference field="0" count="1" selected="0">
            <x v="50"/>
          </reference>
          <reference field="4" count="1" selected="0">
            <x v="1"/>
          </reference>
          <reference field="5" count="1" selected="0">
            <x v="5"/>
          </reference>
          <reference field="8" count="1" selected="0">
            <x v="6"/>
          </reference>
          <reference field="10" count="1" selected="0">
            <x v="0"/>
          </reference>
          <reference field="11" count="1">
            <x v="4"/>
          </reference>
          <reference field="12" count="1" selected="0">
            <x v="20"/>
          </reference>
        </references>
      </pivotArea>
    </format>
    <format dxfId="568">
      <pivotArea dataOnly="0" labelOnly="1" outline="0" fieldPosition="0">
        <references count="7">
          <reference field="0" count="1" selected="0">
            <x v="52"/>
          </reference>
          <reference field="4" count="1" selected="0">
            <x v="1"/>
          </reference>
          <reference field="5" count="1" selected="0">
            <x v="6"/>
          </reference>
          <reference field="8" count="1" selected="0">
            <x v="3"/>
          </reference>
          <reference field="10" count="1" selected="0">
            <x v="0"/>
          </reference>
          <reference field="11" count="1">
            <x v="4"/>
          </reference>
          <reference field="12" count="1" selected="0">
            <x v="21"/>
          </reference>
        </references>
      </pivotArea>
    </format>
    <format dxfId="567">
      <pivotArea dataOnly="0" labelOnly="1" outline="0" fieldPosition="0">
        <references count="7">
          <reference field="0" count="1" selected="0">
            <x v="53"/>
          </reference>
          <reference field="4" count="1" selected="0">
            <x v="1"/>
          </reference>
          <reference field="5" count="1" selected="0">
            <x v="6"/>
          </reference>
          <reference field="8" count="1" selected="0">
            <x v="6"/>
          </reference>
          <reference field="10" count="1" selected="0">
            <x v="0"/>
          </reference>
          <reference field="11" count="1">
            <x v="0"/>
          </reference>
          <reference field="12" count="1" selected="0">
            <x v="15"/>
          </reference>
        </references>
      </pivotArea>
    </format>
    <format dxfId="566">
      <pivotArea dataOnly="0" labelOnly="1" outline="0" fieldPosition="0">
        <references count="7">
          <reference field="0" count="1" selected="0">
            <x v="58"/>
          </reference>
          <reference field="4" count="1" selected="0">
            <x v="1"/>
          </reference>
          <reference field="5" count="1" selected="0">
            <x v="6"/>
          </reference>
          <reference field="8" count="1" selected="0">
            <x v="3"/>
          </reference>
          <reference field="10" count="1" selected="0">
            <x v="0"/>
          </reference>
          <reference field="11" count="1">
            <x v="4"/>
          </reference>
          <reference field="12" count="1" selected="0">
            <x v="24"/>
          </reference>
        </references>
      </pivotArea>
    </format>
    <format dxfId="565">
      <pivotArea dataOnly="0" labelOnly="1" outline="0" fieldPosition="0">
        <references count="7">
          <reference field="0" count="1" selected="0">
            <x v="64"/>
          </reference>
          <reference field="4" count="1" selected="0">
            <x v="1"/>
          </reference>
          <reference field="5" count="1" selected="0">
            <x v="6"/>
          </reference>
          <reference field="8" count="1" selected="0">
            <x v="6"/>
          </reference>
          <reference field="10" count="1" selected="0">
            <x v="0"/>
          </reference>
          <reference field="11" count="1">
            <x v="5"/>
          </reference>
          <reference field="12" count="1" selected="0">
            <x v="35"/>
          </reference>
        </references>
      </pivotArea>
    </format>
    <format dxfId="564">
      <pivotArea dataOnly="0" labelOnly="1" outline="0" fieldPosition="0">
        <references count="7">
          <reference field="0" count="1" selected="0">
            <x v="65"/>
          </reference>
          <reference field="4" count="1" selected="0">
            <x v="1"/>
          </reference>
          <reference field="5" count="1" selected="0">
            <x v="6"/>
          </reference>
          <reference field="8" count="1" selected="0">
            <x v="7"/>
          </reference>
          <reference field="10" count="1" selected="0">
            <x v="0"/>
          </reference>
          <reference field="11" count="1">
            <x v="0"/>
          </reference>
          <reference field="12" count="1" selected="0">
            <x v="0"/>
          </reference>
        </references>
      </pivotArea>
    </format>
    <format dxfId="563">
      <pivotArea dataOnly="0" labelOnly="1" outline="0" fieldPosition="0">
        <references count="7">
          <reference field="0" count="1" selected="0">
            <x v="67"/>
          </reference>
          <reference field="4" count="1" selected="0">
            <x v="0"/>
          </reference>
          <reference field="5" count="1" selected="0">
            <x v="7"/>
          </reference>
          <reference field="8" count="1" selected="0">
            <x v="2"/>
          </reference>
          <reference field="10" count="1" selected="0">
            <x v="0"/>
          </reference>
          <reference field="11" count="1">
            <x v="0"/>
          </reference>
          <reference field="12" count="1" selected="0">
            <x v="25"/>
          </reference>
        </references>
      </pivotArea>
    </format>
    <format dxfId="562">
      <pivotArea dataOnly="0" labelOnly="1" outline="0" fieldPosition="0">
        <references count="7">
          <reference field="0" count="1" selected="0">
            <x v="68"/>
          </reference>
          <reference field="4" count="1" selected="0">
            <x v="0"/>
          </reference>
          <reference field="5" count="1" selected="0">
            <x v="7"/>
          </reference>
          <reference field="8" count="1" selected="0">
            <x v="2"/>
          </reference>
          <reference field="10" count="1" selected="0">
            <x v="0"/>
          </reference>
          <reference field="11" count="1">
            <x v="1"/>
          </reference>
          <reference field="12" count="1" selected="0">
            <x v="26"/>
          </reference>
        </references>
      </pivotArea>
    </format>
    <format dxfId="561">
      <pivotArea dataOnly="0" labelOnly="1" outline="0" fieldPosition="0">
        <references count="7">
          <reference field="0" count="1" selected="0">
            <x v="69"/>
          </reference>
          <reference field="4" count="1" selected="0">
            <x v="0"/>
          </reference>
          <reference field="5" count="1" selected="0">
            <x v="7"/>
          </reference>
          <reference field="8" count="1" selected="0">
            <x v="2"/>
          </reference>
          <reference field="10" count="1" selected="0">
            <x v="0"/>
          </reference>
          <reference field="11" count="1">
            <x v="0"/>
          </reference>
          <reference field="12" count="1" selected="0">
            <x v="25"/>
          </reference>
        </references>
      </pivotArea>
    </format>
    <format dxfId="560">
      <pivotArea dataOnly="0" labelOnly="1" outline="0" fieldPosition="0">
        <references count="7">
          <reference field="0" count="1" selected="0">
            <x v="70"/>
          </reference>
          <reference field="4" count="1" selected="0">
            <x v="0"/>
          </reference>
          <reference field="5" count="1" selected="0">
            <x v="8"/>
          </reference>
          <reference field="8" count="1" selected="0">
            <x v="2"/>
          </reference>
          <reference field="10" count="1" selected="0">
            <x v="0"/>
          </reference>
          <reference field="11" count="1">
            <x v="0"/>
          </reference>
          <reference field="12" count="1" selected="0">
            <x v="8"/>
          </reference>
        </references>
      </pivotArea>
    </format>
    <format dxfId="559">
      <pivotArea dataOnly="0" labelOnly="1" outline="0" fieldPosition="0">
        <references count="7">
          <reference field="0" count="1" selected="0">
            <x v="71"/>
          </reference>
          <reference field="4" count="1" selected="0">
            <x v="0"/>
          </reference>
          <reference field="5" count="1" selected="0">
            <x v="8"/>
          </reference>
          <reference field="8" count="1" selected="0">
            <x v="2"/>
          </reference>
          <reference field="10" count="1" selected="0">
            <x v="0"/>
          </reference>
          <reference field="11" count="1">
            <x v="5"/>
          </reference>
          <reference field="12" count="1" selected="0">
            <x v="20"/>
          </reference>
        </references>
      </pivotArea>
    </format>
    <format dxfId="558">
      <pivotArea dataOnly="0" labelOnly="1" outline="0" fieldPosition="0">
        <references count="7">
          <reference field="0" count="1" selected="0">
            <x v="72"/>
          </reference>
          <reference field="4" count="1" selected="0">
            <x v="0"/>
          </reference>
          <reference field="5" count="1" selected="0">
            <x v="8"/>
          </reference>
          <reference field="8" count="1" selected="0">
            <x v="2"/>
          </reference>
          <reference field="10" count="1" selected="0">
            <x v="0"/>
          </reference>
          <reference field="11" count="1">
            <x v="0"/>
          </reference>
          <reference field="12" count="1" selected="0">
            <x v="27"/>
          </reference>
        </references>
      </pivotArea>
    </format>
    <format dxfId="557">
      <pivotArea dataOnly="0" labelOnly="1" outline="0" fieldPosition="0">
        <references count="7">
          <reference field="0" count="1" selected="0">
            <x v="0"/>
          </reference>
          <reference field="4" count="1" selected="0">
            <x v="0"/>
          </reference>
          <reference field="5" count="1" selected="0">
            <x v="9"/>
          </reference>
          <reference field="8" count="1" selected="0">
            <x v="2"/>
          </reference>
          <reference field="10" count="1" selected="0">
            <x v="0"/>
          </reference>
          <reference field="11" count="1">
            <x v="0"/>
          </reference>
          <reference field="12" count="1" selected="0">
            <x v="28"/>
          </reference>
        </references>
      </pivotArea>
    </format>
    <format dxfId="556">
      <pivotArea dataOnly="0" labelOnly="1" outline="0" fieldPosition="0">
        <references count="7">
          <reference field="0" count="1" selected="0">
            <x v="1"/>
          </reference>
          <reference field="4" count="1" selected="0">
            <x v="0"/>
          </reference>
          <reference field="5" count="1" selected="0">
            <x v="9"/>
          </reference>
          <reference field="8" count="1" selected="0">
            <x v="2"/>
          </reference>
          <reference field="10" count="1" selected="0">
            <x v="0"/>
          </reference>
          <reference field="11" count="1">
            <x v="5"/>
          </reference>
          <reference field="12" count="1" selected="0">
            <x v="31"/>
          </reference>
        </references>
      </pivotArea>
    </format>
    <format dxfId="555">
      <pivotArea dataOnly="0" labelOnly="1" outline="0" fieldPosition="0">
        <references count="7">
          <reference field="0" count="1" selected="0">
            <x v="2"/>
          </reference>
          <reference field="4" count="1" selected="0">
            <x v="0"/>
          </reference>
          <reference field="5" count="1" selected="0">
            <x v="9"/>
          </reference>
          <reference field="8" count="1" selected="0">
            <x v="2"/>
          </reference>
          <reference field="10" count="1" selected="0">
            <x v="0"/>
          </reference>
          <reference field="11" count="1">
            <x v="0"/>
          </reference>
          <reference field="12" count="1" selected="0">
            <x v="28"/>
          </reference>
        </references>
      </pivotArea>
    </format>
    <format dxfId="554">
      <pivotArea dataOnly="0" labelOnly="1" outline="0" fieldPosition="0">
        <references count="7">
          <reference field="0" count="1" selected="0">
            <x v="3"/>
          </reference>
          <reference field="4" count="1" selected="0">
            <x v="0"/>
          </reference>
          <reference field="5" count="1" selected="0">
            <x v="10"/>
          </reference>
          <reference field="8" count="1" selected="0">
            <x v="2"/>
          </reference>
          <reference field="10" count="1" selected="0">
            <x v="0"/>
          </reference>
          <reference field="11" count="1">
            <x v="3"/>
          </reference>
          <reference field="12" count="1" selected="0">
            <x v="29"/>
          </reference>
        </references>
      </pivotArea>
    </format>
    <format dxfId="553">
      <pivotArea dataOnly="0" labelOnly="1" outline="0" fieldPosition="0">
        <references count="7">
          <reference field="0" count="1" selected="0">
            <x v="4"/>
          </reference>
          <reference field="4" count="1" selected="0">
            <x v="0"/>
          </reference>
          <reference field="5" count="1" selected="0">
            <x v="10"/>
          </reference>
          <reference field="8" count="1" selected="0">
            <x v="2"/>
          </reference>
          <reference field="10" count="1" selected="0">
            <x v="0"/>
          </reference>
          <reference field="11" count="1">
            <x v="5"/>
          </reference>
          <reference field="12" count="1" selected="0">
            <x v="32"/>
          </reference>
        </references>
      </pivotArea>
    </format>
    <format dxfId="552">
      <pivotArea dataOnly="0" labelOnly="1" outline="0" fieldPosition="0">
        <references count="7">
          <reference field="0" count="1" selected="0">
            <x v="5"/>
          </reference>
          <reference field="4" count="1" selected="0">
            <x v="0"/>
          </reference>
          <reference field="5" count="1" selected="0">
            <x v="10"/>
          </reference>
          <reference field="8" count="1" selected="0">
            <x v="2"/>
          </reference>
          <reference field="10" count="1" selected="0">
            <x v="0"/>
          </reference>
          <reference field="11" count="1">
            <x v="3"/>
          </reference>
          <reference field="12" count="1" selected="0">
            <x v="29"/>
          </reference>
        </references>
      </pivotArea>
    </format>
    <format dxfId="551">
      <pivotArea dataOnly="0" labelOnly="1" outline="0" fieldPosition="0">
        <references count="7">
          <reference field="0" count="1" selected="0">
            <x v="6"/>
          </reference>
          <reference field="4" count="1" selected="0">
            <x v="0"/>
          </reference>
          <reference field="5" count="1" selected="0">
            <x v="11"/>
          </reference>
          <reference field="8" count="1" selected="0">
            <x v="2"/>
          </reference>
          <reference field="10" count="1" selected="0">
            <x v="0"/>
          </reference>
          <reference field="11" count="1">
            <x v="3"/>
          </reference>
          <reference field="12" count="1" selected="0">
            <x v="30"/>
          </reference>
        </references>
      </pivotArea>
    </format>
    <format dxfId="550">
      <pivotArea dataOnly="0" labelOnly="1" outline="0" fieldPosition="0">
        <references count="7">
          <reference field="0" count="1" selected="0">
            <x v="7"/>
          </reference>
          <reference field="4" count="1" selected="0">
            <x v="0"/>
          </reference>
          <reference field="5" count="1" selected="0">
            <x v="11"/>
          </reference>
          <reference field="8" count="1" selected="0">
            <x v="2"/>
          </reference>
          <reference field="10" count="1" selected="0">
            <x v="0"/>
          </reference>
          <reference field="11" count="1">
            <x v="5"/>
          </reference>
          <reference field="12" count="1" selected="0">
            <x v="32"/>
          </reference>
        </references>
      </pivotArea>
    </format>
    <format dxfId="549">
      <pivotArea dataOnly="0" labelOnly="1" outline="0" fieldPosition="0">
        <references count="7">
          <reference field="0" count="1" selected="0">
            <x v="8"/>
          </reference>
          <reference field="4" count="1" selected="0">
            <x v="0"/>
          </reference>
          <reference field="5" count="1" selected="0">
            <x v="11"/>
          </reference>
          <reference field="8" count="1" selected="0">
            <x v="2"/>
          </reference>
          <reference field="10" count="1" selected="0">
            <x v="0"/>
          </reference>
          <reference field="11" count="1">
            <x v="3"/>
          </reference>
          <reference field="12" count="1" selected="0">
            <x v="30"/>
          </reference>
        </references>
      </pivotArea>
    </format>
    <format dxfId="548">
      <pivotArea dataOnly="0" labelOnly="1" outline="0" fieldPosition="0">
        <references count="8">
          <reference field="0" count="1" selected="0">
            <x v="9"/>
          </reference>
          <reference field="4" count="1" selected="0">
            <x v="2"/>
          </reference>
          <reference field="5" count="1" selected="0">
            <x v="0"/>
          </reference>
          <reference field="8" count="1" selected="0">
            <x v="6"/>
          </reference>
          <reference field="10" count="1" selected="0">
            <x v="0"/>
          </reference>
          <reference field="11" count="1" selected="0">
            <x v="4"/>
          </reference>
          <reference field="12" count="1" selected="0">
            <x v="16"/>
          </reference>
          <reference field="13" count="1">
            <x v="5"/>
          </reference>
        </references>
      </pivotArea>
    </format>
    <format dxfId="547">
      <pivotArea dataOnly="0" labelOnly="1" outline="0" fieldPosition="0">
        <references count="8">
          <reference field="0" count="1" selected="0">
            <x v="10"/>
          </reference>
          <reference field="4" count="1" selected="0">
            <x v="2"/>
          </reference>
          <reference field="5" count="1" selected="0">
            <x v="0"/>
          </reference>
          <reference field="8" count="1" selected="0">
            <x v="6"/>
          </reference>
          <reference field="10" count="1" selected="0">
            <x v="0"/>
          </reference>
          <reference field="11" count="1" selected="0">
            <x v="4"/>
          </reference>
          <reference field="12" count="1" selected="0">
            <x v="14"/>
          </reference>
          <reference field="13" count="1">
            <x v="19"/>
          </reference>
        </references>
      </pivotArea>
    </format>
    <format dxfId="546">
      <pivotArea dataOnly="0" labelOnly="1" outline="0" fieldPosition="0">
        <references count="8">
          <reference field="0" count="1" selected="0">
            <x v="11"/>
          </reference>
          <reference field="4" count="1" selected="0">
            <x v="2"/>
          </reference>
          <reference field="5" count="1" selected="0">
            <x v="0"/>
          </reference>
          <reference field="8" count="1" selected="0">
            <x v="3"/>
          </reference>
          <reference field="10" count="1" selected="0">
            <x v="0"/>
          </reference>
          <reference field="11" count="1" selected="0">
            <x v="4"/>
          </reference>
          <reference field="12" count="1" selected="0">
            <x v="11"/>
          </reference>
          <reference field="13" count="1">
            <x v="21"/>
          </reference>
        </references>
      </pivotArea>
    </format>
    <format dxfId="545">
      <pivotArea dataOnly="0" labelOnly="1" outline="0" fieldPosition="0">
        <references count="8">
          <reference field="0" count="1" selected="0">
            <x v="12"/>
          </reference>
          <reference field="4" count="1" selected="0">
            <x v="2"/>
          </reference>
          <reference field="5" count="1" selected="0">
            <x v="0"/>
          </reference>
          <reference field="8" count="1" selected="0">
            <x v="7"/>
          </reference>
          <reference field="10" count="1" selected="0">
            <x v="0"/>
          </reference>
          <reference field="11" count="1" selected="0">
            <x v="0"/>
          </reference>
          <reference field="12" count="1" selected="0">
            <x v="5"/>
          </reference>
          <reference field="13" count="1">
            <x v="7"/>
          </reference>
        </references>
      </pivotArea>
    </format>
    <format dxfId="544">
      <pivotArea dataOnly="0" labelOnly="1" outline="0" fieldPosition="0">
        <references count="8">
          <reference field="0" count="1" selected="0">
            <x v="12"/>
          </reference>
          <reference field="4" count="1" selected="0">
            <x v="2"/>
          </reference>
          <reference field="5" count="1" selected="0">
            <x v="0"/>
          </reference>
          <reference field="8" count="1" selected="0">
            <x v="7"/>
          </reference>
          <reference field="10" count="1" selected="0">
            <x v="0"/>
          </reference>
          <reference field="11" count="1" selected="0">
            <x v="0"/>
          </reference>
          <reference field="12" count="1" selected="0">
            <x v="8"/>
          </reference>
          <reference field="13" count="1">
            <x v="8"/>
          </reference>
        </references>
      </pivotArea>
    </format>
    <format dxfId="543">
      <pivotArea dataOnly="0" labelOnly="1" outline="0" fieldPosition="0">
        <references count="8">
          <reference field="0" count="1" selected="0">
            <x v="13"/>
          </reference>
          <reference field="4" count="1" selected="0">
            <x v="2"/>
          </reference>
          <reference field="5" count="1" selected="0">
            <x v="0"/>
          </reference>
          <reference field="8" count="1" selected="0">
            <x v="7"/>
          </reference>
          <reference field="10" count="1" selected="0">
            <x v="0"/>
          </reference>
          <reference field="11" count="1" selected="0">
            <x v="0"/>
          </reference>
          <reference field="12" count="1" selected="0">
            <x v="15"/>
          </reference>
          <reference field="13" count="1">
            <x v="34"/>
          </reference>
        </references>
      </pivotArea>
    </format>
    <format dxfId="542">
      <pivotArea dataOnly="0" labelOnly="1" outline="0" fieldPosition="0">
        <references count="8">
          <reference field="0" count="1" selected="0">
            <x v="13"/>
          </reference>
          <reference field="4" count="1" selected="0">
            <x v="2"/>
          </reference>
          <reference field="5" count="1" selected="0">
            <x v="0"/>
          </reference>
          <reference field="8" count="1" selected="0">
            <x v="7"/>
          </reference>
          <reference field="10" count="1" selected="0">
            <x v="0"/>
          </reference>
          <reference field="11" count="1" selected="0">
            <x v="1"/>
          </reference>
          <reference field="12" count="1" selected="0">
            <x v="18"/>
          </reference>
          <reference field="13" count="1">
            <x v="24"/>
          </reference>
        </references>
      </pivotArea>
    </format>
    <format dxfId="541">
      <pivotArea dataOnly="0" labelOnly="1" outline="0" fieldPosition="0">
        <references count="8">
          <reference field="0" count="1" selected="0">
            <x v="14"/>
          </reference>
          <reference field="4" count="1" selected="0">
            <x v="2"/>
          </reference>
          <reference field="5" count="1" selected="0">
            <x v="0"/>
          </reference>
          <reference field="8" count="1" selected="0">
            <x v="5"/>
          </reference>
          <reference field="10" count="1" selected="0">
            <x v="2"/>
          </reference>
          <reference field="11" count="1" selected="0">
            <x v="7"/>
          </reference>
          <reference field="12" count="1" selected="0">
            <x v="34"/>
          </reference>
          <reference field="13" count="1">
            <x v="18"/>
          </reference>
        </references>
      </pivotArea>
    </format>
    <format dxfId="540">
      <pivotArea dataOnly="0" labelOnly="1" outline="0" fieldPosition="0">
        <references count="8">
          <reference field="0" count="1" selected="0">
            <x v="15"/>
          </reference>
          <reference field="4" count="1" selected="0">
            <x v="2"/>
          </reference>
          <reference field="5" count="1" selected="0">
            <x v="1"/>
          </reference>
          <reference field="8" count="1" selected="0">
            <x v="1"/>
          </reference>
          <reference field="10" count="1" selected="0">
            <x v="0"/>
          </reference>
          <reference field="11" count="1" selected="0">
            <x v="7"/>
          </reference>
          <reference field="12" count="1" selected="0">
            <x v="33"/>
          </reference>
          <reference field="13" count="1">
            <x v="2"/>
          </reference>
        </references>
      </pivotArea>
    </format>
    <format dxfId="539">
      <pivotArea dataOnly="0" labelOnly="1" outline="0" fieldPosition="0">
        <references count="8">
          <reference field="0" count="1" selected="0">
            <x v="16"/>
          </reference>
          <reference field="4" count="1" selected="0">
            <x v="2"/>
          </reference>
          <reference field="5" count="1" selected="0">
            <x v="1"/>
          </reference>
          <reference field="8" count="1" selected="0">
            <x v="1"/>
          </reference>
          <reference field="10" count="1" selected="0">
            <x v="1"/>
          </reference>
          <reference field="11" count="1" selected="0">
            <x v="7"/>
          </reference>
          <reference field="12" count="1" selected="0">
            <x v="33"/>
          </reference>
          <reference field="13" count="1">
            <x v="2"/>
          </reference>
        </references>
      </pivotArea>
    </format>
    <format dxfId="538">
      <pivotArea dataOnly="0" labelOnly="1" outline="0" fieldPosition="0">
        <references count="8">
          <reference field="0" count="1" selected="0">
            <x v="17"/>
          </reference>
          <reference field="4" count="1" selected="0">
            <x v="2"/>
          </reference>
          <reference field="5" count="1" selected="0">
            <x v="1"/>
          </reference>
          <reference field="8" count="1" selected="0">
            <x v="1"/>
          </reference>
          <reference field="10" count="1" selected="0">
            <x v="0"/>
          </reference>
          <reference field="11" count="1" selected="0">
            <x v="7"/>
          </reference>
          <reference field="12" count="1" selected="0">
            <x v="33"/>
          </reference>
          <reference field="13" count="1">
            <x v="2"/>
          </reference>
        </references>
      </pivotArea>
    </format>
    <format dxfId="537">
      <pivotArea dataOnly="0" labelOnly="1" outline="0" fieldPosition="0">
        <references count="8">
          <reference field="0" count="1" selected="0">
            <x v="18"/>
          </reference>
          <reference field="4" count="1" selected="0">
            <x v="2"/>
          </reference>
          <reference field="5" count="1" selected="0">
            <x v="1"/>
          </reference>
          <reference field="8" count="1" selected="0">
            <x v="1"/>
          </reference>
          <reference field="10" count="1" selected="0">
            <x v="1"/>
          </reference>
          <reference field="11" count="1" selected="0">
            <x v="7"/>
          </reference>
          <reference field="12" count="1" selected="0">
            <x v="33"/>
          </reference>
          <reference field="13" count="1">
            <x v="2"/>
          </reference>
        </references>
      </pivotArea>
    </format>
    <format dxfId="536">
      <pivotArea dataOnly="0" labelOnly="1" outline="0" fieldPosition="0">
        <references count="8">
          <reference field="0" count="1" selected="0">
            <x v="19"/>
          </reference>
          <reference field="4" count="1" selected="0">
            <x v="2"/>
          </reference>
          <reference field="5" count="1" selected="0">
            <x v="1"/>
          </reference>
          <reference field="8" count="1" selected="0">
            <x v="1"/>
          </reference>
          <reference field="10" count="1" selected="0">
            <x v="0"/>
          </reference>
          <reference field="11" count="1" selected="0">
            <x v="7"/>
          </reference>
          <reference field="12" count="1" selected="0">
            <x v="33"/>
          </reference>
          <reference field="13" count="1">
            <x v="2"/>
          </reference>
        </references>
      </pivotArea>
    </format>
    <format dxfId="535">
      <pivotArea dataOnly="0" labelOnly="1" outline="0" fieldPosition="0">
        <references count="8">
          <reference field="0" count="1" selected="0">
            <x v="20"/>
          </reference>
          <reference field="4" count="1" selected="0">
            <x v="2"/>
          </reference>
          <reference field="5" count="1" selected="0">
            <x v="1"/>
          </reference>
          <reference field="8" count="1" selected="0">
            <x v="1"/>
          </reference>
          <reference field="10" count="1" selected="0">
            <x v="1"/>
          </reference>
          <reference field="11" count="1" selected="0">
            <x v="7"/>
          </reference>
          <reference field="12" count="1" selected="0">
            <x v="33"/>
          </reference>
          <reference field="13" count="1">
            <x v="2"/>
          </reference>
        </references>
      </pivotArea>
    </format>
    <format dxfId="534">
      <pivotArea dataOnly="0" labelOnly="1" outline="0" fieldPosition="0">
        <references count="8">
          <reference field="0" count="1" selected="0">
            <x v="21"/>
          </reference>
          <reference field="4" count="1" selected="0">
            <x v="2"/>
          </reference>
          <reference field="5" count="1" selected="0">
            <x v="2"/>
          </reference>
          <reference field="8" count="1" selected="0">
            <x v="6"/>
          </reference>
          <reference field="10" count="1" selected="0">
            <x v="0"/>
          </reference>
          <reference field="11" count="1" selected="0">
            <x v="2"/>
          </reference>
          <reference field="12" count="1" selected="0">
            <x v="13"/>
          </reference>
          <reference field="13" count="1">
            <x v="4"/>
          </reference>
        </references>
      </pivotArea>
    </format>
    <format dxfId="533">
      <pivotArea dataOnly="0" labelOnly="1" outline="0" fieldPosition="0">
        <references count="8">
          <reference field="0" count="1" selected="0">
            <x v="22"/>
          </reference>
          <reference field="4" count="1" selected="0">
            <x v="2"/>
          </reference>
          <reference field="5" count="1" selected="0">
            <x v="2"/>
          </reference>
          <reference field="8" count="1" selected="0">
            <x v="6"/>
          </reference>
          <reference field="10" count="1" selected="0">
            <x v="0"/>
          </reference>
          <reference field="11" count="1" selected="0">
            <x v="4"/>
          </reference>
          <reference field="12" count="1" selected="0">
            <x v="17"/>
          </reference>
          <reference field="13" count="1">
            <x v="20"/>
          </reference>
        </references>
      </pivotArea>
    </format>
    <format dxfId="532">
      <pivotArea dataOnly="0" labelOnly="1" outline="0" fieldPosition="0">
        <references count="8">
          <reference field="0" count="1" selected="0">
            <x v="23"/>
          </reference>
          <reference field="4" count="1" selected="0">
            <x v="2"/>
          </reference>
          <reference field="5" count="1" selected="0">
            <x v="2"/>
          </reference>
          <reference field="8" count="1" selected="0">
            <x v="3"/>
          </reference>
          <reference field="10" count="1" selected="0">
            <x v="0"/>
          </reference>
          <reference field="11" count="1" selected="0">
            <x v="4"/>
          </reference>
          <reference field="12" count="1" selected="0">
            <x v="19"/>
          </reference>
          <reference field="13" count="1">
            <x v="22"/>
          </reference>
        </references>
      </pivotArea>
    </format>
    <format dxfId="531">
      <pivotArea dataOnly="0" labelOnly="1" outline="0" fieldPosition="0">
        <references count="8">
          <reference field="0" count="1" selected="0">
            <x v="24"/>
          </reference>
          <reference field="4" count="1" selected="0">
            <x v="2"/>
          </reference>
          <reference field="5" count="1" selected="0">
            <x v="2"/>
          </reference>
          <reference field="8" count="1" selected="0">
            <x v="7"/>
          </reference>
          <reference field="10" count="1" selected="0">
            <x v="0"/>
          </reference>
          <reference field="11" count="1" selected="0">
            <x v="0"/>
          </reference>
          <reference field="12" count="1" selected="0">
            <x v="0"/>
          </reference>
          <reference field="13" count="1">
            <x v="10"/>
          </reference>
        </references>
      </pivotArea>
    </format>
    <format dxfId="530">
      <pivotArea dataOnly="0" labelOnly="1" outline="0" fieldPosition="0">
        <references count="8">
          <reference field="0" count="1" selected="0">
            <x v="24"/>
          </reference>
          <reference field="4" count="1" selected="0">
            <x v="2"/>
          </reference>
          <reference field="5" count="1" selected="0">
            <x v="2"/>
          </reference>
          <reference field="8" count="1" selected="0">
            <x v="7"/>
          </reference>
          <reference field="10" count="1" selected="0">
            <x v="0"/>
          </reference>
          <reference field="11" count="1" selected="0">
            <x v="0"/>
          </reference>
          <reference field="12" count="1" selected="0">
            <x v="1"/>
          </reference>
          <reference field="13" count="1">
            <x v="25"/>
          </reference>
        </references>
      </pivotArea>
    </format>
    <format dxfId="529">
      <pivotArea dataOnly="0" labelOnly="1" outline="0" fieldPosition="0">
        <references count="8">
          <reference field="0" count="1" selected="0">
            <x v="25"/>
          </reference>
          <reference field="4" count="1" selected="0">
            <x v="2"/>
          </reference>
          <reference field="5" count="1" selected="0">
            <x v="2"/>
          </reference>
          <reference field="8" count="1" selected="0">
            <x v="7"/>
          </reference>
          <reference field="10" count="1" selected="0">
            <x v="0"/>
          </reference>
          <reference field="11" count="1" selected="0">
            <x v="0"/>
          </reference>
          <reference field="12" count="1" selected="0">
            <x v="15"/>
          </reference>
          <reference field="13" count="1">
            <x v="34"/>
          </reference>
        </references>
      </pivotArea>
    </format>
    <format dxfId="528">
      <pivotArea dataOnly="0" labelOnly="1" outline="0" fieldPosition="0">
        <references count="8">
          <reference field="0" count="1" selected="0">
            <x v="25"/>
          </reference>
          <reference field="4" count="1" selected="0">
            <x v="2"/>
          </reference>
          <reference field="5" count="1" selected="0">
            <x v="2"/>
          </reference>
          <reference field="8" count="1" selected="0">
            <x v="7"/>
          </reference>
          <reference field="10" count="1" selected="0">
            <x v="0"/>
          </reference>
          <reference field="11" count="1" selected="0">
            <x v="1"/>
          </reference>
          <reference field="12" count="1" selected="0">
            <x v="18"/>
          </reference>
          <reference field="13" count="1">
            <x v="24"/>
          </reference>
        </references>
      </pivotArea>
    </format>
    <format dxfId="527">
      <pivotArea dataOnly="0" labelOnly="1" outline="0" fieldPosition="0">
        <references count="8">
          <reference field="0" count="1" selected="0">
            <x v="26"/>
          </reference>
          <reference field="4" count="1" selected="0">
            <x v="2"/>
          </reference>
          <reference field="5" count="1" selected="0">
            <x v="2"/>
          </reference>
          <reference field="8" count="1" selected="0">
            <x v="5"/>
          </reference>
          <reference field="10" count="1" selected="0">
            <x v="2"/>
          </reference>
          <reference field="11" count="1" selected="0">
            <x v="7"/>
          </reference>
          <reference field="12" count="1" selected="0">
            <x v="34"/>
          </reference>
          <reference field="13" count="1">
            <x v="18"/>
          </reference>
        </references>
      </pivotArea>
    </format>
    <format dxfId="526">
      <pivotArea dataOnly="0" labelOnly="1" outline="0" fieldPosition="0">
        <references count="8">
          <reference field="0" count="1" selected="0">
            <x v="27"/>
          </reference>
          <reference field="4" count="1" selected="0">
            <x v="2"/>
          </reference>
          <reference field="5" count="1" selected="0">
            <x v="3"/>
          </reference>
          <reference field="8" count="1" selected="0">
            <x v="7"/>
          </reference>
          <reference field="10" count="1" selected="0">
            <x v="0"/>
          </reference>
          <reference field="11" count="1" selected="0">
            <x v="6"/>
          </reference>
          <reference field="12" count="1" selected="0">
            <x v="6"/>
          </reference>
          <reference field="13" count="1">
            <x v="33"/>
          </reference>
        </references>
      </pivotArea>
    </format>
    <format dxfId="525">
      <pivotArea dataOnly="0" labelOnly="1" outline="0" fieldPosition="0">
        <references count="8">
          <reference field="0" count="1" selected="0">
            <x v="28"/>
          </reference>
          <reference field="4" count="1" selected="0">
            <x v="2"/>
          </reference>
          <reference field="5" count="1" selected="0">
            <x v="3"/>
          </reference>
          <reference field="8" count="1" selected="0">
            <x v="7"/>
          </reference>
          <reference field="10" count="1" selected="0">
            <x v="0"/>
          </reference>
          <reference field="11" count="1" selected="0">
            <x v="6"/>
          </reference>
          <reference field="12" count="1" selected="0">
            <x v="7"/>
          </reference>
          <reference field="13" count="1">
            <x v="15"/>
          </reference>
        </references>
      </pivotArea>
    </format>
    <format dxfId="524">
      <pivotArea dataOnly="0" labelOnly="1" outline="0" fieldPosition="0">
        <references count="8">
          <reference field="0" count="1" selected="0">
            <x v="29"/>
          </reference>
          <reference field="4" count="1" selected="0">
            <x v="2"/>
          </reference>
          <reference field="5" count="1" selected="0">
            <x v="3"/>
          </reference>
          <reference field="8" count="1" selected="0">
            <x v="3"/>
          </reference>
          <reference field="10" count="1" selected="0">
            <x v="0"/>
          </reference>
          <reference field="11" count="1" selected="0">
            <x v="4"/>
          </reference>
          <reference field="12" count="1" selected="0">
            <x v="11"/>
          </reference>
          <reference field="13" count="1">
            <x v="21"/>
          </reference>
        </references>
      </pivotArea>
    </format>
    <format dxfId="523">
      <pivotArea dataOnly="0" labelOnly="1" outline="0" fieldPosition="0">
        <references count="8">
          <reference field="0" count="1" selected="0">
            <x v="30"/>
          </reference>
          <reference field="4" count="1" selected="0">
            <x v="2"/>
          </reference>
          <reference field="5" count="1" selected="0">
            <x v="3"/>
          </reference>
          <reference field="8" count="1" selected="0">
            <x v="4"/>
          </reference>
          <reference field="10" count="1" selected="0">
            <x v="1"/>
          </reference>
          <reference field="11" count="1" selected="0">
            <x v="0"/>
          </reference>
          <reference field="12" count="1" selected="0">
            <x v="5"/>
          </reference>
          <reference field="13" count="1">
            <x v="7"/>
          </reference>
        </references>
      </pivotArea>
    </format>
    <format dxfId="522">
      <pivotArea dataOnly="0" labelOnly="1" outline="0" fieldPosition="0">
        <references count="8">
          <reference field="0" count="1" selected="0">
            <x v="30"/>
          </reference>
          <reference field="4" count="1" selected="0">
            <x v="2"/>
          </reference>
          <reference field="5" count="1" selected="0">
            <x v="3"/>
          </reference>
          <reference field="8" count="1" selected="0">
            <x v="4"/>
          </reference>
          <reference field="10" count="1" selected="0">
            <x v="1"/>
          </reference>
          <reference field="11" count="1" selected="0">
            <x v="0"/>
          </reference>
          <reference field="12" count="1" selected="0">
            <x v="8"/>
          </reference>
          <reference field="13" count="1">
            <x v="8"/>
          </reference>
        </references>
      </pivotArea>
    </format>
    <format dxfId="521">
      <pivotArea dataOnly="0" labelOnly="1" outline="0" fieldPosition="0">
        <references count="8">
          <reference field="0" count="1" selected="0">
            <x v="31"/>
          </reference>
          <reference field="4" count="1" selected="0">
            <x v="2"/>
          </reference>
          <reference field="5" count="1" selected="0">
            <x v="3"/>
          </reference>
          <reference field="8" count="1" selected="0">
            <x v="0"/>
          </reference>
          <reference field="10" count="1" selected="0">
            <x v="0"/>
          </reference>
          <reference field="11" count="1" selected="0">
            <x v="6"/>
          </reference>
          <reference field="12" count="1" selected="0">
            <x v="9"/>
          </reference>
          <reference field="13" count="1">
            <x v="26"/>
          </reference>
        </references>
      </pivotArea>
    </format>
    <format dxfId="520">
      <pivotArea dataOnly="0" labelOnly="1" outline="0" fieldPosition="0">
        <references count="8">
          <reference field="0" count="1" selected="0">
            <x v="32"/>
          </reference>
          <reference field="4" count="1" selected="0">
            <x v="2"/>
          </reference>
          <reference field="5" count="1" selected="0">
            <x v="3"/>
          </reference>
          <reference field="8" count="1" selected="0">
            <x v="0"/>
          </reference>
          <reference field="10" count="1" selected="0">
            <x v="0"/>
          </reference>
          <reference field="11" count="1" selected="0">
            <x v="6"/>
          </reference>
          <reference field="12" count="1" selected="0">
            <x v="10"/>
          </reference>
          <reference field="13" count="1">
            <x v="27"/>
          </reference>
        </references>
      </pivotArea>
    </format>
    <format dxfId="519">
      <pivotArea dataOnly="0" labelOnly="1" outline="0" fieldPosition="0">
        <references count="8">
          <reference field="0" count="1" selected="0">
            <x v="35"/>
          </reference>
          <reference field="4" count="1" selected="0">
            <x v="1"/>
          </reference>
          <reference field="5" count="1" selected="0">
            <x v="4"/>
          </reference>
          <reference field="8" count="1" selected="0">
            <x v="3"/>
          </reference>
          <reference field="10" count="1" selected="0">
            <x v="1"/>
          </reference>
          <reference field="11" count="1" selected="0">
            <x v="4"/>
          </reference>
          <reference field="12" count="1" selected="0">
            <x v="4"/>
          </reference>
          <reference field="13" count="1">
            <x v="31"/>
          </reference>
        </references>
      </pivotArea>
    </format>
    <format dxfId="518">
      <pivotArea dataOnly="0" labelOnly="1" outline="0" fieldPosition="0">
        <references count="8">
          <reference field="0" count="1" selected="0">
            <x v="36"/>
          </reference>
          <reference field="4" count="1" selected="0">
            <x v="1"/>
          </reference>
          <reference field="5" count="1" selected="0">
            <x v="4"/>
          </reference>
          <reference field="8" count="1" selected="0">
            <x v="3"/>
          </reference>
          <reference field="10" count="1" selected="0">
            <x v="1"/>
          </reference>
          <reference field="11" count="1" selected="0">
            <x v="4"/>
          </reference>
          <reference field="12" count="1" selected="0">
            <x v="3"/>
          </reference>
          <reference field="13" count="1">
            <x v="16"/>
          </reference>
        </references>
      </pivotArea>
    </format>
    <format dxfId="517">
      <pivotArea dataOnly="0" labelOnly="1" outline="0" fieldPosition="0">
        <references count="8">
          <reference field="0" count="1" selected="0">
            <x v="37"/>
          </reference>
          <reference field="4" count="1" selected="0">
            <x v="1"/>
          </reference>
          <reference field="5" count="1" selected="0">
            <x v="4"/>
          </reference>
          <reference field="8" count="1" selected="0">
            <x v="5"/>
          </reference>
          <reference field="10" count="1" selected="0">
            <x v="2"/>
          </reference>
          <reference field="11" count="1" selected="0">
            <x v="7"/>
          </reference>
          <reference field="12" count="1" selected="0">
            <x v="34"/>
          </reference>
          <reference field="13" count="1">
            <x v="18"/>
          </reference>
        </references>
      </pivotArea>
    </format>
    <format dxfId="516">
      <pivotArea dataOnly="0" labelOnly="1" outline="0" fieldPosition="0">
        <references count="8">
          <reference field="0" count="1" selected="0">
            <x v="38"/>
          </reference>
          <reference field="4" count="1" selected="0">
            <x v="1"/>
          </reference>
          <reference field="5" count="1" selected="0">
            <x v="4"/>
          </reference>
          <reference field="8" count="1" selected="0">
            <x v="4"/>
          </reference>
          <reference field="10" count="1" selected="0">
            <x v="1"/>
          </reference>
          <reference field="11" count="1" selected="0">
            <x v="0"/>
          </reference>
          <reference field="12" count="1" selected="0">
            <x v="0"/>
          </reference>
          <reference field="13" count="1">
            <x v="10"/>
          </reference>
        </references>
      </pivotArea>
    </format>
    <format dxfId="515">
      <pivotArea dataOnly="0" labelOnly="1" outline="0" fieldPosition="0">
        <references count="8">
          <reference field="0" count="1" selected="0">
            <x v="38"/>
          </reference>
          <reference field="4" count="1" selected="0">
            <x v="1"/>
          </reference>
          <reference field="5" count="1" selected="0">
            <x v="4"/>
          </reference>
          <reference field="8" count="1" selected="0">
            <x v="4"/>
          </reference>
          <reference field="10" count="1" selected="0">
            <x v="1"/>
          </reference>
          <reference field="11" count="1" selected="0">
            <x v="0"/>
          </reference>
          <reference field="12" count="1" selected="0">
            <x v="1"/>
          </reference>
          <reference field="13" count="1">
            <x v="25"/>
          </reference>
        </references>
      </pivotArea>
    </format>
    <format dxfId="514">
      <pivotArea dataOnly="0" labelOnly="1" outline="0" fieldPosition="0">
        <references count="8">
          <reference field="0" count="1" selected="0">
            <x v="38"/>
          </reference>
          <reference field="4" count="1" selected="0">
            <x v="1"/>
          </reference>
          <reference field="5" count="1" selected="0">
            <x v="4"/>
          </reference>
          <reference field="8" count="1" selected="0">
            <x v="4"/>
          </reference>
          <reference field="10" count="1" selected="0">
            <x v="1"/>
          </reference>
          <reference field="11" count="1" selected="0">
            <x v="0"/>
          </reference>
          <reference field="12" count="1" selected="0">
            <x v="2"/>
          </reference>
          <reference field="13" count="1">
            <x v="3"/>
          </reference>
        </references>
      </pivotArea>
    </format>
    <format dxfId="513">
      <pivotArea dataOnly="0" labelOnly="1" outline="0" fieldPosition="0">
        <references count="8">
          <reference field="0" count="1" selected="0">
            <x v="39"/>
          </reference>
          <reference field="4" count="1" selected="0">
            <x v="1"/>
          </reference>
          <reference field="5" count="1" selected="0">
            <x v="5"/>
          </reference>
          <reference field="8" count="1" selected="0">
            <x v="6"/>
          </reference>
          <reference field="10" count="1" selected="0">
            <x v="0"/>
          </reference>
          <reference field="11" count="1" selected="0">
            <x v="1"/>
          </reference>
          <reference field="12" count="1" selected="0">
            <x v="22"/>
          </reference>
          <reference field="13" count="1">
            <x v="1"/>
          </reference>
        </references>
      </pivotArea>
    </format>
    <format dxfId="512">
      <pivotArea dataOnly="0" labelOnly="1" outline="0" fieldPosition="0">
        <references count="8">
          <reference field="0" count="1" selected="0">
            <x v="40"/>
          </reference>
          <reference field="4" count="1" selected="0">
            <x v="1"/>
          </reference>
          <reference field="5" count="1" selected="0">
            <x v="5"/>
          </reference>
          <reference field="8" count="1" selected="0">
            <x v="3"/>
          </reference>
          <reference field="10" count="1" selected="0">
            <x v="0"/>
          </reference>
          <reference field="11" count="1" selected="0">
            <x v="6"/>
          </reference>
          <reference field="12" count="1" selected="0">
            <x v="12"/>
          </reference>
          <reference field="13" count="1">
            <x v="28"/>
          </reference>
        </references>
      </pivotArea>
    </format>
    <format dxfId="511">
      <pivotArea dataOnly="0" labelOnly="1" outline="0" fieldPosition="0">
        <references count="8">
          <reference field="0" count="1" selected="0">
            <x v="43"/>
          </reference>
          <reference field="4" count="1" selected="0">
            <x v="1"/>
          </reference>
          <reference field="5" count="1" selected="0">
            <x v="5"/>
          </reference>
          <reference field="8" count="1" selected="0">
            <x v="3"/>
          </reference>
          <reference field="10" count="1" selected="0">
            <x v="0"/>
          </reference>
          <reference field="11" count="1" selected="0">
            <x v="4"/>
          </reference>
          <reference field="12" count="1" selected="0">
            <x v="21"/>
          </reference>
          <reference field="13" count="1">
            <x v="17"/>
          </reference>
        </references>
      </pivotArea>
    </format>
    <format dxfId="510">
      <pivotArea dataOnly="0" labelOnly="1" outline="0" fieldPosition="0">
        <references count="8">
          <reference field="0" count="1" selected="0">
            <x v="44"/>
          </reference>
          <reference field="4" count="1" selected="0">
            <x v="1"/>
          </reference>
          <reference field="5" count="1" selected="0">
            <x v="5"/>
          </reference>
          <reference field="8" count="1" selected="0">
            <x v="3"/>
          </reference>
          <reference field="10" count="1" selected="0">
            <x v="0"/>
          </reference>
          <reference field="11" count="1" selected="0">
            <x v="1"/>
          </reference>
          <reference field="12" count="1" selected="0">
            <x v="13"/>
          </reference>
          <reference field="13" count="1">
            <x v="4"/>
          </reference>
        </references>
      </pivotArea>
    </format>
    <format dxfId="509">
      <pivotArea dataOnly="0" labelOnly="1" outline="0" fieldPosition="0">
        <references count="8">
          <reference field="0" count="1" selected="0">
            <x v="44"/>
          </reference>
          <reference field="4" count="1" selected="0">
            <x v="1"/>
          </reference>
          <reference field="5" count="1" selected="0">
            <x v="5"/>
          </reference>
          <reference field="8" count="1" selected="0">
            <x v="3"/>
          </reference>
          <reference field="10" count="1" selected="0">
            <x v="0"/>
          </reference>
          <reference field="11" count="1" selected="0">
            <x v="1"/>
          </reference>
          <reference field="12" count="1" selected="0">
            <x v="16"/>
          </reference>
          <reference field="13" count="1">
            <x v="5"/>
          </reference>
        </references>
      </pivotArea>
    </format>
    <format dxfId="508">
      <pivotArea dataOnly="0" labelOnly="1" outline="0" fieldPosition="0">
        <references count="8">
          <reference field="0" count="1" selected="0">
            <x v="49"/>
          </reference>
          <reference field="4" count="1" selected="0">
            <x v="1"/>
          </reference>
          <reference field="5" count="1" selected="0">
            <x v="5"/>
          </reference>
          <reference field="8" count="1" selected="0">
            <x v="7"/>
          </reference>
          <reference field="10" count="1" selected="0">
            <x v="0"/>
          </reference>
          <reference field="11" count="1" selected="0">
            <x v="0"/>
          </reference>
          <reference field="12" count="1" selected="0">
            <x v="15"/>
          </reference>
          <reference field="13" count="1">
            <x v="34"/>
          </reference>
        </references>
      </pivotArea>
    </format>
    <format dxfId="507">
      <pivotArea dataOnly="0" labelOnly="1" outline="0" fieldPosition="0">
        <references count="8">
          <reference field="0" count="1" selected="0">
            <x v="50"/>
          </reference>
          <reference field="4" count="1" selected="0">
            <x v="1"/>
          </reference>
          <reference field="5" count="1" selected="0">
            <x v="5"/>
          </reference>
          <reference field="8" count="1" selected="0">
            <x v="6"/>
          </reference>
          <reference field="10" count="1" selected="0">
            <x v="0"/>
          </reference>
          <reference field="11" count="1" selected="0">
            <x v="4"/>
          </reference>
          <reference field="12" count="1" selected="0">
            <x v="20"/>
          </reference>
          <reference field="13" count="1">
            <x v="35"/>
          </reference>
        </references>
      </pivotArea>
    </format>
    <format dxfId="506">
      <pivotArea dataOnly="0" labelOnly="1" outline="0" fieldPosition="0">
        <references count="8">
          <reference field="0" count="1" selected="0">
            <x v="52"/>
          </reference>
          <reference field="4" count="1" selected="0">
            <x v="1"/>
          </reference>
          <reference field="5" count="1" selected="0">
            <x v="6"/>
          </reference>
          <reference field="8" count="1" selected="0">
            <x v="3"/>
          </reference>
          <reference field="10" count="1" selected="0">
            <x v="0"/>
          </reference>
          <reference field="11" count="1" selected="0">
            <x v="4"/>
          </reference>
          <reference field="12" count="1" selected="0">
            <x v="21"/>
          </reference>
          <reference field="13" count="1">
            <x v="17"/>
          </reference>
        </references>
      </pivotArea>
    </format>
    <format dxfId="505">
      <pivotArea dataOnly="0" labelOnly="1" outline="0" fieldPosition="0">
        <references count="8">
          <reference field="0" count="1" selected="0">
            <x v="53"/>
          </reference>
          <reference field="4" count="1" selected="0">
            <x v="1"/>
          </reference>
          <reference field="5" count="1" selected="0">
            <x v="6"/>
          </reference>
          <reference field="8" count="1" selected="0">
            <x v="6"/>
          </reference>
          <reference field="10" count="1" selected="0">
            <x v="0"/>
          </reference>
          <reference field="11" count="1" selected="0">
            <x v="0"/>
          </reference>
          <reference field="12" count="1" selected="0">
            <x v="15"/>
          </reference>
          <reference field="13" count="1">
            <x v="34"/>
          </reference>
        </references>
      </pivotArea>
    </format>
    <format dxfId="504">
      <pivotArea dataOnly="0" labelOnly="1" outline="0" fieldPosition="0">
        <references count="8">
          <reference field="0" count="1" selected="0">
            <x v="58"/>
          </reference>
          <reference field="4" count="1" selected="0">
            <x v="1"/>
          </reference>
          <reference field="5" count="1" selected="0">
            <x v="6"/>
          </reference>
          <reference field="8" count="1" selected="0">
            <x v="3"/>
          </reference>
          <reference field="10" count="1" selected="0">
            <x v="0"/>
          </reference>
          <reference field="11" count="1" selected="0">
            <x v="4"/>
          </reference>
          <reference field="12" count="1" selected="0">
            <x v="24"/>
          </reference>
          <reference field="13" count="1">
            <x v="9"/>
          </reference>
        </references>
      </pivotArea>
    </format>
    <format dxfId="503">
      <pivotArea dataOnly="0" labelOnly="1" outline="0" fieldPosition="0">
        <references count="8">
          <reference field="0" count="1" selected="0">
            <x v="59"/>
          </reference>
          <reference field="4" count="1" selected="0">
            <x v="1"/>
          </reference>
          <reference field="5" count="1" selected="0">
            <x v="6"/>
          </reference>
          <reference field="8" count="1" selected="0">
            <x v="3"/>
          </reference>
          <reference field="10" count="1" selected="0">
            <x v="0"/>
          </reference>
          <reference field="11" count="1" selected="0">
            <x v="4"/>
          </reference>
          <reference field="12" count="1" selected="0">
            <x v="24"/>
          </reference>
          <reference field="13" count="1">
            <x v="9"/>
          </reference>
        </references>
      </pivotArea>
    </format>
    <format dxfId="502">
      <pivotArea dataOnly="0" labelOnly="1" outline="0" fieldPosition="0">
        <references count="8">
          <reference field="0" count="1" selected="0">
            <x v="64"/>
          </reference>
          <reference field="4" count="1" selected="0">
            <x v="1"/>
          </reference>
          <reference field="5" count="1" selected="0">
            <x v="6"/>
          </reference>
          <reference field="8" count="1" selected="0">
            <x v="6"/>
          </reference>
          <reference field="10" count="1" selected="0">
            <x v="0"/>
          </reference>
          <reference field="11" count="1" selected="0">
            <x v="5"/>
          </reference>
          <reference field="12" count="1" selected="0">
            <x v="35"/>
          </reference>
          <reference field="13" count="1">
            <x v="36"/>
          </reference>
        </references>
      </pivotArea>
    </format>
    <format dxfId="501">
      <pivotArea dataOnly="0" labelOnly="1" outline="0" fieldPosition="0">
        <references count="8">
          <reference field="0" count="1" selected="0">
            <x v="65"/>
          </reference>
          <reference field="4" count="1" selected="0">
            <x v="1"/>
          </reference>
          <reference field="5" count="1" selected="0">
            <x v="6"/>
          </reference>
          <reference field="8" count="1" selected="0">
            <x v="7"/>
          </reference>
          <reference field="10" count="1" selected="0">
            <x v="0"/>
          </reference>
          <reference field="11" count="1" selected="0">
            <x v="0"/>
          </reference>
          <reference field="12" count="1" selected="0">
            <x v="0"/>
          </reference>
          <reference field="13" count="1">
            <x v="10"/>
          </reference>
        </references>
      </pivotArea>
    </format>
    <format dxfId="500">
      <pivotArea dataOnly="0" labelOnly="1" outline="0" fieldPosition="0">
        <references count="8">
          <reference field="0" count="1" selected="0">
            <x v="65"/>
          </reference>
          <reference field="4" count="1" selected="0">
            <x v="1"/>
          </reference>
          <reference field="5" count="1" selected="0">
            <x v="6"/>
          </reference>
          <reference field="8" count="1" selected="0">
            <x v="7"/>
          </reference>
          <reference field="10" count="1" selected="0">
            <x v="0"/>
          </reference>
          <reference field="11" count="1" selected="0">
            <x v="0"/>
          </reference>
          <reference field="12" count="1" selected="0">
            <x v="1"/>
          </reference>
          <reference field="13" count="1">
            <x v="25"/>
          </reference>
        </references>
      </pivotArea>
    </format>
    <format dxfId="499">
      <pivotArea dataOnly="0" labelOnly="1" outline="0" fieldPosition="0">
        <references count="8">
          <reference field="0" count="1" selected="0">
            <x v="67"/>
          </reference>
          <reference field="4" count="1" selected="0">
            <x v="0"/>
          </reference>
          <reference field="5" count="1" selected="0">
            <x v="7"/>
          </reference>
          <reference field="8" count="1" selected="0">
            <x v="2"/>
          </reference>
          <reference field="10" count="1" selected="0">
            <x v="0"/>
          </reference>
          <reference field="11" count="1" selected="0">
            <x v="0"/>
          </reference>
          <reference field="12" count="1" selected="0">
            <x v="25"/>
          </reference>
          <reference field="13" count="1">
            <x v="12"/>
          </reference>
        </references>
      </pivotArea>
    </format>
    <format dxfId="498">
      <pivotArea dataOnly="0" labelOnly="1" outline="0" fieldPosition="0">
        <references count="8">
          <reference field="0" count="1" selected="0">
            <x v="68"/>
          </reference>
          <reference field="4" count="1" selected="0">
            <x v="0"/>
          </reference>
          <reference field="5" count="1" selected="0">
            <x v="7"/>
          </reference>
          <reference field="8" count="1" selected="0">
            <x v="2"/>
          </reference>
          <reference field="10" count="1" selected="0">
            <x v="0"/>
          </reference>
          <reference field="11" count="1" selected="0">
            <x v="1"/>
          </reference>
          <reference field="12" count="1" selected="0">
            <x v="26"/>
          </reference>
          <reference field="13" count="1">
            <x v="13"/>
          </reference>
        </references>
      </pivotArea>
    </format>
    <format dxfId="497">
      <pivotArea dataOnly="0" labelOnly="1" outline="0" fieldPosition="0">
        <references count="8">
          <reference field="0" count="1" selected="0">
            <x v="69"/>
          </reference>
          <reference field="4" count="1" selected="0">
            <x v="0"/>
          </reference>
          <reference field="5" count="1" selected="0">
            <x v="7"/>
          </reference>
          <reference field="8" count="1" selected="0">
            <x v="2"/>
          </reference>
          <reference field="10" count="1" selected="0">
            <x v="0"/>
          </reference>
          <reference field="11" count="1" selected="0">
            <x v="0"/>
          </reference>
          <reference field="12" count="1" selected="0">
            <x v="25"/>
          </reference>
          <reference field="13" count="1">
            <x v="12"/>
          </reference>
        </references>
      </pivotArea>
    </format>
    <format dxfId="496">
      <pivotArea dataOnly="0" labelOnly="1" outline="0" fieldPosition="0">
        <references count="8">
          <reference field="0" count="1" selected="0">
            <x v="70"/>
          </reference>
          <reference field="4" count="1" selected="0">
            <x v="0"/>
          </reference>
          <reference field="5" count="1" selected="0">
            <x v="8"/>
          </reference>
          <reference field="8" count="1" selected="0">
            <x v="2"/>
          </reference>
          <reference field="10" count="1" selected="0">
            <x v="0"/>
          </reference>
          <reference field="11" count="1" selected="0">
            <x v="0"/>
          </reference>
          <reference field="12" count="1" selected="0">
            <x v="8"/>
          </reference>
          <reference field="13" count="1">
            <x v="8"/>
          </reference>
        </references>
      </pivotArea>
    </format>
    <format dxfId="495">
      <pivotArea dataOnly="0" labelOnly="1" outline="0" fieldPosition="0">
        <references count="8">
          <reference field="0" count="1" selected="0">
            <x v="71"/>
          </reference>
          <reference field="4" count="1" selected="0">
            <x v="0"/>
          </reference>
          <reference field="5" count="1" selected="0">
            <x v="8"/>
          </reference>
          <reference field="8" count="1" selected="0">
            <x v="2"/>
          </reference>
          <reference field="10" count="1" selected="0">
            <x v="0"/>
          </reference>
          <reference field="11" count="1" selected="0">
            <x v="5"/>
          </reference>
          <reference field="12" count="1" selected="0">
            <x v="20"/>
          </reference>
          <reference field="13" count="1">
            <x v="35"/>
          </reference>
        </references>
      </pivotArea>
    </format>
    <format dxfId="494">
      <pivotArea dataOnly="0" labelOnly="1" outline="0" fieldPosition="0">
        <references count="8">
          <reference field="0" count="1" selected="0">
            <x v="72"/>
          </reference>
          <reference field="4" count="1" selected="0">
            <x v="0"/>
          </reference>
          <reference field="5" count="1" selected="0">
            <x v="8"/>
          </reference>
          <reference field="8" count="1" selected="0">
            <x v="2"/>
          </reference>
          <reference field="10" count="1" selected="0">
            <x v="0"/>
          </reference>
          <reference field="11" count="1" selected="0">
            <x v="0"/>
          </reference>
          <reference field="12" count="1" selected="0">
            <x v="27"/>
          </reference>
          <reference field="13" count="1">
            <x v="6"/>
          </reference>
        </references>
      </pivotArea>
    </format>
    <format dxfId="493">
      <pivotArea dataOnly="0" labelOnly="1" outline="0" fieldPosition="0">
        <references count="8">
          <reference field="0" count="1" selected="0">
            <x v="0"/>
          </reference>
          <reference field="4" count="1" selected="0">
            <x v="0"/>
          </reference>
          <reference field="5" count="1" selected="0">
            <x v="9"/>
          </reference>
          <reference field="8" count="1" selected="0">
            <x v="2"/>
          </reference>
          <reference field="10" count="1" selected="0">
            <x v="0"/>
          </reference>
          <reference field="11" count="1" selected="0">
            <x v="0"/>
          </reference>
          <reference field="12" count="1" selected="0">
            <x v="28"/>
          </reference>
          <reference field="13" count="1">
            <x v="32"/>
          </reference>
        </references>
      </pivotArea>
    </format>
    <format dxfId="492">
      <pivotArea dataOnly="0" labelOnly="1" outline="0" fieldPosition="0">
        <references count="8">
          <reference field="0" count="1" selected="0">
            <x v="1"/>
          </reference>
          <reference field="4" count="1" selected="0">
            <x v="0"/>
          </reference>
          <reference field="5" count="1" selected="0">
            <x v="9"/>
          </reference>
          <reference field="8" count="1" selected="0">
            <x v="2"/>
          </reference>
          <reference field="10" count="1" selected="0">
            <x v="0"/>
          </reference>
          <reference field="11" count="1" selected="0">
            <x v="5"/>
          </reference>
          <reference field="12" count="1" selected="0">
            <x v="31"/>
          </reference>
          <reference field="13" count="1">
            <x v="14"/>
          </reference>
        </references>
      </pivotArea>
    </format>
    <format dxfId="491">
      <pivotArea dataOnly="0" labelOnly="1" outline="0" fieldPosition="0">
        <references count="8">
          <reference field="0" count="1" selected="0">
            <x v="2"/>
          </reference>
          <reference field="4" count="1" selected="0">
            <x v="0"/>
          </reference>
          <reference field="5" count="1" selected="0">
            <x v="9"/>
          </reference>
          <reference field="8" count="1" selected="0">
            <x v="2"/>
          </reference>
          <reference field="10" count="1" selected="0">
            <x v="0"/>
          </reference>
          <reference field="11" count="1" selected="0">
            <x v="0"/>
          </reference>
          <reference field="12" count="1" selected="0">
            <x v="28"/>
          </reference>
          <reference field="13" count="1">
            <x v="32"/>
          </reference>
        </references>
      </pivotArea>
    </format>
    <format dxfId="490">
      <pivotArea dataOnly="0" labelOnly="1" outline="0" fieldPosition="0">
        <references count="8">
          <reference field="0" count="1" selected="0">
            <x v="3"/>
          </reference>
          <reference field="4" count="1" selected="0">
            <x v="0"/>
          </reference>
          <reference field="5" count="1" selected="0">
            <x v="10"/>
          </reference>
          <reference field="8" count="1" selected="0">
            <x v="2"/>
          </reference>
          <reference field="10" count="1" selected="0">
            <x v="0"/>
          </reference>
          <reference field="11" count="1" selected="0">
            <x v="3"/>
          </reference>
          <reference field="12" count="1" selected="0">
            <x v="29"/>
          </reference>
          <reference field="13" count="1">
            <x v="30"/>
          </reference>
        </references>
      </pivotArea>
    </format>
    <format dxfId="489">
      <pivotArea dataOnly="0" labelOnly="1" outline="0" fieldPosition="0">
        <references count="8">
          <reference field="0" count="1" selected="0">
            <x v="4"/>
          </reference>
          <reference field="4" count="1" selected="0">
            <x v="0"/>
          </reference>
          <reference field="5" count="1" selected="0">
            <x v="10"/>
          </reference>
          <reference field="8" count="1" selected="0">
            <x v="2"/>
          </reference>
          <reference field="10" count="1" selected="0">
            <x v="0"/>
          </reference>
          <reference field="11" count="1" selected="0">
            <x v="5"/>
          </reference>
          <reference field="12" count="1" selected="0">
            <x v="32"/>
          </reference>
          <reference field="13" count="1">
            <x v="23"/>
          </reference>
        </references>
      </pivotArea>
    </format>
    <format dxfId="488">
      <pivotArea dataOnly="0" labelOnly="1" outline="0" fieldPosition="0">
        <references count="8">
          <reference field="0" count="1" selected="0">
            <x v="5"/>
          </reference>
          <reference field="4" count="1" selected="0">
            <x v="0"/>
          </reference>
          <reference field="5" count="1" selected="0">
            <x v="10"/>
          </reference>
          <reference field="8" count="1" selected="0">
            <x v="2"/>
          </reference>
          <reference field="10" count="1" selected="0">
            <x v="0"/>
          </reference>
          <reference field="11" count="1" selected="0">
            <x v="3"/>
          </reference>
          <reference field="12" count="1" selected="0">
            <x v="29"/>
          </reference>
          <reference field="13" count="1">
            <x v="30"/>
          </reference>
        </references>
      </pivotArea>
    </format>
    <format dxfId="487">
      <pivotArea dataOnly="0" labelOnly="1" outline="0" fieldPosition="0">
        <references count="8">
          <reference field="0" count="1" selected="0">
            <x v="6"/>
          </reference>
          <reference field="4" count="1" selected="0">
            <x v="0"/>
          </reference>
          <reference field="5" count="1" selected="0">
            <x v="11"/>
          </reference>
          <reference field="8" count="1" selected="0">
            <x v="2"/>
          </reference>
          <reference field="10" count="1" selected="0">
            <x v="0"/>
          </reference>
          <reference field="11" count="1" selected="0">
            <x v="3"/>
          </reference>
          <reference field="12" count="1" selected="0">
            <x v="30"/>
          </reference>
          <reference field="13" count="1">
            <x v="29"/>
          </reference>
        </references>
      </pivotArea>
    </format>
    <format dxfId="486">
      <pivotArea dataOnly="0" labelOnly="1" outline="0" fieldPosition="0">
        <references count="8">
          <reference field="0" count="1" selected="0">
            <x v="7"/>
          </reference>
          <reference field="4" count="1" selected="0">
            <x v="0"/>
          </reference>
          <reference field="5" count="1" selected="0">
            <x v="11"/>
          </reference>
          <reference field="8" count="1" selected="0">
            <x v="2"/>
          </reference>
          <reference field="10" count="1" selected="0">
            <x v="0"/>
          </reference>
          <reference field="11" count="1" selected="0">
            <x v="5"/>
          </reference>
          <reference field="12" count="1" selected="0">
            <x v="32"/>
          </reference>
          <reference field="13" count="1">
            <x v="23"/>
          </reference>
        </references>
      </pivotArea>
    </format>
    <format dxfId="485">
      <pivotArea dataOnly="0" labelOnly="1" outline="0" fieldPosition="0">
        <references count="8">
          <reference field="0" count="1" selected="0">
            <x v="8"/>
          </reference>
          <reference field="4" count="1" selected="0">
            <x v="0"/>
          </reference>
          <reference field="5" count="1" selected="0">
            <x v="11"/>
          </reference>
          <reference field="8" count="1" selected="0">
            <x v="2"/>
          </reference>
          <reference field="10" count="1" selected="0">
            <x v="0"/>
          </reference>
          <reference field="11" count="1" selected="0">
            <x v="3"/>
          </reference>
          <reference field="12" count="1" selected="0">
            <x v="30"/>
          </reference>
          <reference field="13" count="1">
            <x v="29"/>
          </reference>
        </references>
      </pivotArea>
    </format>
    <format dxfId="484">
      <pivotArea type="all" dataOnly="0" outline="0" fieldPosition="0"/>
    </format>
    <format dxfId="483">
      <pivotArea field="5" type="button" dataOnly="0" labelOnly="1" outline="0" axis="axisRow" fieldPosition="0"/>
    </format>
    <format dxfId="482">
      <pivotArea field="4" type="button" dataOnly="0" labelOnly="1" outline="0" axis="axisRow" fieldPosition="1"/>
    </format>
    <format dxfId="481">
      <pivotArea field="0" type="button" dataOnly="0" labelOnly="1" outline="0" axis="axisRow" fieldPosition="2"/>
    </format>
    <format dxfId="480">
      <pivotArea field="8" type="button" dataOnly="0" labelOnly="1" outline="0" axis="axisRow" fieldPosition="3"/>
    </format>
    <format dxfId="479">
      <pivotArea field="10" type="button" dataOnly="0" labelOnly="1" outline="0" axis="axisRow" fieldPosition="4"/>
    </format>
    <format dxfId="478">
      <pivotArea field="12" type="button" dataOnly="0" labelOnly="1" outline="0" axis="axisRow" fieldPosition="5"/>
    </format>
    <format dxfId="477">
      <pivotArea field="11" type="button" dataOnly="0" labelOnly="1" outline="0" axis="axisRow" fieldPosition="6"/>
    </format>
    <format dxfId="476">
      <pivotArea field="13" type="button" dataOnly="0" labelOnly="1" outline="0" axis="axisRow" fieldPosition="7"/>
    </format>
    <format dxfId="475">
      <pivotArea dataOnly="0" labelOnly="1" outline="0" fieldPosition="0">
        <references count="1">
          <reference field="5" count="0"/>
        </references>
      </pivotArea>
    </format>
    <format dxfId="474">
      <pivotArea dataOnly="0" labelOnly="1" outline="0" fieldPosition="0">
        <references count="1">
          <reference field="5" count="0" defaultSubtotal="1"/>
        </references>
      </pivotArea>
    </format>
    <format dxfId="473">
      <pivotArea dataOnly="0" labelOnly="1" grandRow="1" outline="0" fieldPosition="0"/>
    </format>
    <format dxfId="472">
      <pivotArea dataOnly="0" labelOnly="1" outline="0" fieldPosition="0">
        <references count="2">
          <reference field="4" count="1">
            <x v="2"/>
          </reference>
          <reference field="5" count="1" selected="0">
            <x v="0"/>
          </reference>
        </references>
      </pivotArea>
    </format>
    <format dxfId="471">
      <pivotArea dataOnly="0" labelOnly="1" outline="0" fieldPosition="0">
        <references count="2">
          <reference field="4" count="1">
            <x v="2"/>
          </reference>
          <reference field="5" count="1" selected="0">
            <x v="1"/>
          </reference>
        </references>
      </pivotArea>
    </format>
    <format dxfId="470">
      <pivotArea dataOnly="0" labelOnly="1" outline="0" fieldPosition="0">
        <references count="2">
          <reference field="4" count="1">
            <x v="2"/>
          </reference>
          <reference field="5" count="1" selected="0">
            <x v="2"/>
          </reference>
        </references>
      </pivotArea>
    </format>
    <format dxfId="469">
      <pivotArea dataOnly="0" labelOnly="1" outline="0" fieldPosition="0">
        <references count="2">
          <reference field="4" count="1">
            <x v="2"/>
          </reference>
          <reference field="5" count="1" selected="0">
            <x v="3"/>
          </reference>
        </references>
      </pivotArea>
    </format>
    <format dxfId="468">
      <pivotArea dataOnly="0" labelOnly="1" outline="0" fieldPosition="0">
        <references count="2">
          <reference field="4" count="1">
            <x v="1"/>
          </reference>
          <reference field="5" count="1" selected="0">
            <x v="4"/>
          </reference>
        </references>
      </pivotArea>
    </format>
    <format dxfId="467">
      <pivotArea dataOnly="0" labelOnly="1" outline="0" fieldPosition="0">
        <references count="2">
          <reference field="4" count="1">
            <x v="1"/>
          </reference>
          <reference field="5" count="1" selected="0">
            <x v="5"/>
          </reference>
        </references>
      </pivotArea>
    </format>
    <format dxfId="466">
      <pivotArea dataOnly="0" labelOnly="1" outline="0" fieldPosition="0">
        <references count="2">
          <reference field="4" count="1">
            <x v="1"/>
          </reference>
          <reference field="5" count="1" selected="0">
            <x v="6"/>
          </reference>
        </references>
      </pivotArea>
    </format>
    <format dxfId="465">
      <pivotArea dataOnly="0" labelOnly="1" outline="0" fieldPosition="0">
        <references count="2">
          <reference field="4" count="1">
            <x v="0"/>
          </reference>
          <reference field="5" count="1" selected="0">
            <x v="7"/>
          </reference>
        </references>
      </pivotArea>
    </format>
    <format dxfId="464">
      <pivotArea dataOnly="0" labelOnly="1" outline="0" fieldPosition="0">
        <references count="2">
          <reference field="4" count="1">
            <x v="0"/>
          </reference>
          <reference field="5" count="1" selected="0">
            <x v="8"/>
          </reference>
        </references>
      </pivotArea>
    </format>
    <format dxfId="463">
      <pivotArea dataOnly="0" labelOnly="1" outline="0" fieldPosition="0">
        <references count="2">
          <reference field="4" count="1">
            <x v="0"/>
          </reference>
          <reference field="5" count="1" selected="0">
            <x v="9"/>
          </reference>
        </references>
      </pivotArea>
    </format>
    <format dxfId="462">
      <pivotArea dataOnly="0" labelOnly="1" outline="0" fieldPosition="0">
        <references count="2">
          <reference field="4" count="1">
            <x v="0"/>
          </reference>
          <reference field="5" count="1" selected="0">
            <x v="10"/>
          </reference>
        </references>
      </pivotArea>
    </format>
    <format dxfId="461">
      <pivotArea dataOnly="0" labelOnly="1" outline="0" fieldPosition="0">
        <references count="2">
          <reference field="4" count="1">
            <x v="0"/>
          </reference>
          <reference field="5" count="1" selected="0">
            <x v="11"/>
          </reference>
        </references>
      </pivotArea>
    </format>
    <format dxfId="460">
      <pivotArea dataOnly="0" labelOnly="1" outline="0" fieldPosition="0">
        <references count="3">
          <reference field="0" count="6">
            <x v="9"/>
            <x v="10"/>
            <x v="11"/>
            <x v="12"/>
            <x v="13"/>
            <x v="14"/>
          </reference>
          <reference field="4" count="1" selected="0">
            <x v="2"/>
          </reference>
          <reference field="5" count="1" selected="0">
            <x v="0"/>
          </reference>
        </references>
      </pivotArea>
    </format>
    <format dxfId="459">
      <pivotArea dataOnly="0" labelOnly="1" outline="0" fieldPosition="0">
        <references count="3">
          <reference field="0" count="6">
            <x v="15"/>
            <x v="16"/>
            <x v="17"/>
            <x v="18"/>
            <x v="19"/>
            <x v="20"/>
          </reference>
          <reference field="4" count="1" selected="0">
            <x v="2"/>
          </reference>
          <reference field="5" count="1" selected="0">
            <x v="1"/>
          </reference>
        </references>
      </pivotArea>
    </format>
    <format dxfId="458">
      <pivotArea dataOnly="0" labelOnly="1" outline="0" fieldPosition="0">
        <references count="3">
          <reference field="0" count="6">
            <x v="21"/>
            <x v="22"/>
            <x v="23"/>
            <x v="24"/>
            <x v="25"/>
            <x v="26"/>
          </reference>
          <reference field="4" count="1" selected="0">
            <x v="2"/>
          </reference>
          <reference field="5" count="1" selected="0">
            <x v="2"/>
          </reference>
        </references>
      </pivotArea>
    </format>
    <format dxfId="457">
      <pivotArea dataOnly="0" labelOnly="1" outline="0" fieldPosition="0">
        <references count="3">
          <reference field="0" count="6">
            <x v="27"/>
            <x v="28"/>
            <x v="29"/>
            <x v="30"/>
            <x v="31"/>
            <x v="32"/>
          </reference>
          <reference field="4" count="1" selected="0">
            <x v="2"/>
          </reference>
          <reference field="5" count="1" selected="0">
            <x v="3"/>
          </reference>
        </references>
      </pivotArea>
    </format>
    <format dxfId="456">
      <pivotArea dataOnly="0" labelOnly="1" outline="0" fieldPosition="0">
        <references count="3">
          <reference field="0" count="6">
            <x v="33"/>
            <x v="34"/>
            <x v="35"/>
            <x v="36"/>
            <x v="37"/>
            <x v="38"/>
          </reference>
          <reference field="4" count="1" selected="0">
            <x v="1"/>
          </reference>
          <reference field="5" count="1" selected="0">
            <x v="4"/>
          </reference>
        </references>
      </pivotArea>
    </format>
    <format dxfId="455">
      <pivotArea dataOnly="0" labelOnly="1" outline="0" fieldPosition="0">
        <references count="3">
          <reference field="0" count="6">
            <x v="39"/>
            <x v="40"/>
            <x v="43"/>
            <x v="44"/>
            <x v="49"/>
            <x v="50"/>
          </reference>
          <reference field="4" count="1" selected="0">
            <x v="1"/>
          </reference>
          <reference field="5" count="1" selected="0">
            <x v="5"/>
          </reference>
        </references>
      </pivotArea>
    </format>
    <format dxfId="454">
      <pivotArea dataOnly="0" labelOnly="1" outline="0" fieldPosition="0">
        <references count="3">
          <reference field="0" count="6">
            <x v="52"/>
            <x v="53"/>
            <x v="58"/>
            <x v="59"/>
            <x v="64"/>
            <x v="65"/>
          </reference>
          <reference field="4" count="1" selected="0">
            <x v="1"/>
          </reference>
          <reference field="5" count="1" selected="0">
            <x v="6"/>
          </reference>
        </references>
      </pivotArea>
    </format>
    <format dxfId="453">
      <pivotArea dataOnly="0" labelOnly="1" outline="0" fieldPosition="0">
        <references count="3">
          <reference field="0" count="3">
            <x v="67"/>
            <x v="68"/>
            <x v="69"/>
          </reference>
          <reference field="4" count="1" selected="0">
            <x v="0"/>
          </reference>
          <reference field="5" count="1" selected="0">
            <x v="7"/>
          </reference>
        </references>
      </pivotArea>
    </format>
    <format dxfId="452">
      <pivotArea dataOnly="0" labelOnly="1" outline="0" fieldPosition="0">
        <references count="3">
          <reference field="0" count="3">
            <x v="70"/>
            <x v="71"/>
            <x v="72"/>
          </reference>
          <reference field="4" count="1" selected="0">
            <x v="0"/>
          </reference>
          <reference field="5" count="1" selected="0">
            <x v="8"/>
          </reference>
        </references>
      </pivotArea>
    </format>
    <format dxfId="451">
      <pivotArea dataOnly="0" labelOnly="1" outline="0" fieldPosition="0">
        <references count="3">
          <reference field="0" count="3">
            <x v="0"/>
            <x v="1"/>
            <x v="2"/>
          </reference>
          <reference field="4" count="1" selected="0">
            <x v="0"/>
          </reference>
          <reference field="5" count="1" selected="0">
            <x v="9"/>
          </reference>
        </references>
      </pivotArea>
    </format>
    <format dxfId="450">
      <pivotArea dataOnly="0" labelOnly="1" outline="0" fieldPosition="0">
        <references count="3">
          <reference field="0" count="3">
            <x v="3"/>
            <x v="4"/>
            <x v="5"/>
          </reference>
          <reference field="4" count="1" selected="0">
            <x v="0"/>
          </reference>
          <reference field="5" count="1" selected="0">
            <x v="10"/>
          </reference>
        </references>
      </pivotArea>
    </format>
    <format dxfId="449">
      <pivotArea dataOnly="0" labelOnly="1" outline="0" fieldPosition="0">
        <references count="3">
          <reference field="0" count="3">
            <x v="6"/>
            <x v="7"/>
            <x v="8"/>
          </reference>
          <reference field="4" count="1" selected="0">
            <x v="0"/>
          </reference>
          <reference field="5" count="1" selected="0">
            <x v="11"/>
          </reference>
        </references>
      </pivotArea>
    </format>
    <format dxfId="448">
      <pivotArea dataOnly="0" labelOnly="1" outline="0" fieldPosition="0">
        <references count="4">
          <reference field="0" count="1" selected="0">
            <x v="9"/>
          </reference>
          <reference field="4" count="1" selected="0">
            <x v="2"/>
          </reference>
          <reference field="5" count="1" selected="0">
            <x v="0"/>
          </reference>
          <reference field="8" count="1">
            <x v="6"/>
          </reference>
        </references>
      </pivotArea>
    </format>
    <format dxfId="447">
      <pivotArea dataOnly="0" labelOnly="1" outline="0" fieldPosition="0">
        <references count="4">
          <reference field="0" count="1" selected="0">
            <x v="11"/>
          </reference>
          <reference field="4" count="1" selected="0">
            <x v="2"/>
          </reference>
          <reference field="5" count="1" selected="0">
            <x v="0"/>
          </reference>
          <reference field="8" count="1">
            <x v="3"/>
          </reference>
        </references>
      </pivotArea>
    </format>
    <format dxfId="446">
      <pivotArea dataOnly="0" labelOnly="1" outline="0" fieldPosition="0">
        <references count="4">
          <reference field="0" count="1" selected="0">
            <x v="12"/>
          </reference>
          <reference field="4" count="1" selected="0">
            <x v="2"/>
          </reference>
          <reference field="5" count="1" selected="0">
            <x v="0"/>
          </reference>
          <reference field="8" count="1">
            <x v="7"/>
          </reference>
        </references>
      </pivotArea>
    </format>
    <format dxfId="445">
      <pivotArea dataOnly="0" labelOnly="1" outline="0" fieldPosition="0">
        <references count="4">
          <reference field="0" count="1" selected="0">
            <x v="14"/>
          </reference>
          <reference field="4" count="1" selected="0">
            <x v="2"/>
          </reference>
          <reference field="5" count="1" selected="0">
            <x v="0"/>
          </reference>
          <reference field="8" count="1">
            <x v="5"/>
          </reference>
        </references>
      </pivotArea>
    </format>
    <format dxfId="444">
      <pivotArea dataOnly="0" labelOnly="1" outline="0" fieldPosition="0">
        <references count="4">
          <reference field="0" count="1" selected="0">
            <x v="15"/>
          </reference>
          <reference field="4" count="1" selected="0">
            <x v="2"/>
          </reference>
          <reference field="5" count="1" selected="0">
            <x v="1"/>
          </reference>
          <reference field="8" count="1">
            <x v="1"/>
          </reference>
        </references>
      </pivotArea>
    </format>
    <format dxfId="443">
      <pivotArea dataOnly="0" labelOnly="1" outline="0" fieldPosition="0">
        <references count="4">
          <reference field="0" count="1" selected="0">
            <x v="21"/>
          </reference>
          <reference field="4" count="1" selected="0">
            <x v="2"/>
          </reference>
          <reference field="5" count="1" selected="0">
            <x v="2"/>
          </reference>
          <reference field="8" count="1">
            <x v="6"/>
          </reference>
        </references>
      </pivotArea>
    </format>
    <format dxfId="442">
      <pivotArea dataOnly="0" labelOnly="1" outline="0" fieldPosition="0">
        <references count="4">
          <reference field="0" count="1" selected="0">
            <x v="23"/>
          </reference>
          <reference field="4" count="1" selected="0">
            <x v="2"/>
          </reference>
          <reference field="5" count="1" selected="0">
            <x v="2"/>
          </reference>
          <reference field="8" count="1">
            <x v="3"/>
          </reference>
        </references>
      </pivotArea>
    </format>
    <format dxfId="441">
      <pivotArea dataOnly="0" labelOnly="1" outline="0" fieldPosition="0">
        <references count="4">
          <reference field="0" count="1" selected="0">
            <x v="24"/>
          </reference>
          <reference field="4" count="1" selected="0">
            <x v="2"/>
          </reference>
          <reference field="5" count="1" selected="0">
            <x v="2"/>
          </reference>
          <reference field="8" count="1">
            <x v="7"/>
          </reference>
        </references>
      </pivotArea>
    </format>
    <format dxfId="440">
      <pivotArea dataOnly="0" labelOnly="1" outline="0" fieldPosition="0">
        <references count="4">
          <reference field="0" count="1" selected="0">
            <x v="26"/>
          </reference>
          <reference field="4" count="1" selected="0">
            <x v="2"/>
          </reference>
          <reference field="5" count="1" selected="0">
            <x v="2"/>
          </reference>
          <reference field="8" count="1">
            <x v="5"/>
          </reference>
        </references>
      </pivotArea>
    </format>
    <format dxfId="439">
      <pivotArea dataOnly="0" labelOnly="1" outline="0" fieldPosition="0">
        <references count="4">
          <reference field="0" count="1" selected="0">
            <x v="27"/>
          </reference>
          <reference field="4" count="1" selected="0">
            <x v="2"/>
          </reference>
          <reference field="5" count="1" selected="0">
            <x v="3"/>
          </reference>
          <reference field="8" count="1">
            <x v="7"/>
          </reference>
        </references>
      </pivotArea>
    </format>
    <format dxfId="438">
      <pivotArea dataOnly="0" labelOnly="1" outline="0" fieldPosition="0">
        <references count="4">
          <reference field="0" count="1" selected="0">
            <x v="29"/>
          </reference>
          <reference field="4" count="1" selected="0">
            <x v="2"/>
          </reference>
          <reference field="5" count="1" selected="0">
            <x v="3"/>
          </reference>
          <reference field="8" count="1">
            <x v="3"/>
          </reference>
        </references>
      </pivotArea>
    </format>
    <format dxfId="437">
      <pivotArea dataOnly="0" labelOnly="1" outline="0" fieldPosition="0">
        <references count="4">
          <reference field="0" count="1" selected="0">
            <x v="30"/>
          </reference>
          <reference field="4" count="1" selected="0">
            <x v="2"/>
          </reference>
          <reference field="5" count="1" selected="0">
            <x v="3"/>
          </reference>
          <reference field="8" count="1">
            <x v="4"/>
          </reference>
        </references>
      </pivotArea>
    </format>
    <format dxfId="436">
      <pivotArea dataOnly="0" labelOnly="1" outline="0" fieldPosition="0">
        <references count="4">
          <reference field="0" count="1" selected="0">
            <x v="31"/>
          </reference>
          <reference field="4" count="1" selected="0">
            <x v="2"/>
          </reference>
          <reference field="5" count="1" selected="0">
            <x v="3"/>
          </reference>
          <reference field="8" count="1">
            <x v="0"/>
          </reference>
        </references>
      </pivotArea>
    </format>
    <format dxfId="435">
      <pivotArea dataOnly="0" labelOnly="1" outline="0" fieldPosition="0">
        <references count="4">
          <reference field="0" count="1" selected="0">
            <x v="33"/>
          </reference>
          <reference field="4" count="1" selected="0">
            <x v="1"/>
          </reference>
          <reference field="5" count="1" selected="0">
            <x v="4"/>
          </reference>
          <reference field="8" count="1">
            <x v="5"/>
          </reference>
        </references>
      </pivotArea>
    </format>
    <format dxfId="434">
      <pivotArea dataOnly="0" labelOnly="1" outline="0" fieldPosition="0">
        <references count="4">
          <reference field="0" count="1" selected="0">
            <x v="35"/>
          </reference>
          <reference field="4" count="1" selected="0">
            <x v="1"/>
          </reference>
          <reference field="5" count="1" selected="0">
            <x v="4"/>
          </reference>
          <reference field="8" count="1">
            <x v="3"/>
          </reference>
        </references>
      </pivotArea>
    </format>
    <format dxfId="433">
      <pivotArea dataOnly="0" labelOnly="1" outline="0" fieldPosition="0">
        <references count="4">
          <reference field="0" count="1" selected="0">
            <x v="37"/>
          </reference>
          <reference field="4" count="1" selected="0">
            <x v="1"/>
          </reference>
          <reference field="5" count="1" selected="0">
            <x v="4"/>
          </reference>
          <reference field="8" count="1">
            <x v="5"/>
          </reference>
        </references>
      </pivotArea>
    </format>
    <format dxfId="432">
      <pivotArea dataOnly="0" labelOnly="1" outline="0" fieldPosition="0">
        <references count="4">
          <reference field="0" count="1" selected="0">
            <x v="38"/>
          </reference>
          <reference field="4" count="1" selected="0">
            <x v="1"/>
          </reference>
          <reference field="5" count="1" selected="0">
            <x v="4"/>
          </reference>
          <reference field="8" count="1">
            <x v="4"/>
          </reference>
        </references>
      </pivotArea>
    </format>
    <format dxfId="431">
      <pivotArea dataOnly="0" labelOnly="1" outline="0" fieldPosition="0">
        <references count="4">
          <reference field="0" count="1" selected="0">
            <x v="39"/>
          </reference>
          <reference field="4" count="1" selected="0">
            <x v="1"/>
          </reference>
          <reference field="5" count="1" selected="0">
            <x v="5"/>
          </reference>
          <reference field="8" count="1">
            <x v="6"/>
          </reference>
        </references>
      </pivotArea>
    </format>
    <format dxfId="430">
      <pivotArea dataOnly="0" labelOnly="1" outline="0" fieldPosition="0">
        <references count="4">
          <reference field="0" count="1" selected="0">
            <x v="40"/>
          </reference>
          <reference field="4" count="1" selected="0">
            <x v="1"/>
          </reference>
          <reference field="5" count="1" selected="0">
            <x v="5"/>
          </reference>
          <reference field="8" count="1">
            <x v="3"/>
          </reference>
        </references>
      </pivotArea>
    </format>
    <format dxfId="429">
      <pivotArea dataOnly="0" labelOnly="1" outline="0" fieldPosition="0">
        <references count="4">
          <reference field="0" count="1" selected="0">
            <x v="49"/>
          </reference>
          <reference field="4" count="1" selected="0">
            <x v="1"/>
          </reference>
          <reference field="5" count="1" selected="0">
            <x v="5"/>
          </reference>
          <reference field="8" count="1">
            <x v="7"/>
          </reference>
        </references>
      </pivotArea>
    </format>
    <format dxfId="428">
      <pivotArea dataOnly="0" labelOnly="1" outline="0" fieldPosition="0">
        <references count="4">
          <reference field="0" count="1" selected="0">
            <x v="50"/>
          </reference>
          <reference field="4" count="1" selected="0">
            <x v="1"/>
          </reference>
          <reference field="5" count="1" selected="0">
            <x v="5"/>
          </reference>
          <reference field="8" count="1">
            <x v="6"/>
          </reference>
        </references>
      </pivotArea>
    </format>
    <format dxfId="427">
      <pivotArea dataOnly="0" labelOnly="1" outline="0" fieldPosition="0">
        <references count="4">
          <reference field="0" count="1" selected="0">
            <x v="52"/>
          </reference>
          <reference field="4" count="1" selected="0">
            <x v="1"/>
          </reference>
          <reference field="5" count="1" selected="0">
            <x v="6"/>
          </reference>
          <reference field="8" count="1">
            <x v="3"/>
          </reference>
        </references>
      </pivotArea>
    </format>
    <format dxfId="426">
      <pivotArea dataOnly="0" labelOnly="1" outline="0" fieldPosition="0">
        <references count="4">
          <reference field="0" count="1" selected="0">
            <x v="53"/>
          </reference>
          <reference field="4" count="1" selected="0">
            <x v="1"/>
          </reference>
          <reference field="5" count="1" selected="0">
            <x v="6"/>
          </reference>
          <reference field="8" count="1">
            <x v="6"/>
          </reference>
        </references>
      </pivotArea>
    </format>
    <format dxfId="425">
      <pivotArea dataOnly="0" labelOnly="1" outline="0" fieldPosition="0">
        <references count="4">
          <reference field="0" count="1" selected="0">
            <x v="58"/>
          </reference>
          <reference field="4" count="1" selected="0">
            <x v="1"/>
          </reference>
          <reference field="5" count="1" selected="0">
            <x v="6"/>
          </reference>
          <reference field="8" count="1">
            <x v="3"/>
          </reference>
        </references>
      </pivotArea>
    </format>
    <format dxfId="424">
      <pivotArea dataOnly="0" labelOnly="1" outline="0" fieldPosition="0">
        <references count="4">
          <reference field="0" count="1" selected="0">
            <x v="64"/>
          </reference>
          <reference field="4" count="1" selected="0">
            <x v="1"/>
          </reference>
          <reference field="5" count="1" selected="0">
            <x v="6"/>
          </reference>
          <reference field="8" count="1">
            <x v="6"/>
          </reference>
        </references>
      </pivotArea>
    </format>
    <format dxfId="423">
      <pivotArea dataOnly="0" labelOnly="1" outline="0" fieldPosition="0">
        <references count="4">
          <reference field="0" count="1" selected="0">
            <x v="65"/>
          </reference>
          <reference field="4" count="1" selected="0">
            <x v="1"/>
          </reference>
          <reference field="5" count="1" selected="0">
            <x v="6"/>
          </reference>
          <reference field="8" count="1">
            <x v="7"/>
          </reference>
        </references>
      </pivotArea>
    </format>
    <format dxfId="422">
      <pivotArea dataOnly="0" labelOnly="1" outline="0" fieldPosition="0">
        <references count="4">
          <reference field="0" count="1" selected="0">
            <x v="67"/>
          </reference>
          <reference field="4" count="1" selected="0">
            <x v="0"/>
          </reference>
          <reference field="5" count="1" selected="0">
            <x v="7"/>
          </reference>
          <reference field="8" count="1">
            <x v="2"/>
          </reference>
        </references>
      </pivotArea>
    </format>
    <format dxfId="421">
      <pivotArea dataOnly="0" labelOnly="1" outline="0" fieldPosition="0">
        <references count="4">
          <reference field="0" count="1" selected="0">
            <x v="70"/>
          </reference>
          <reference field="4" count="1" selected="0">
            <x v="0"/>
          </reference>
          <reference field="5" count="1" selected="0">
            <x v="8"/>
          </reference>
          <reference field="8" count="1">
            <x v="2"/>
          </reference>
        </references>
      </pivotArea>
    </format>
    <format dxfId="420">
      <pivotArea dataOnly="0" labelOnly="1" outline="0" fieldPosition="0">
        <references count="4">
          <reference field="0" count="1" selected="0">
            <x v="0"/>
          </reference>
          <reference field="4" count="1" selected="0">
            <x v="0"/>
          </reference>
          <reference field="5" count="1" selected="0">
            <x v="9"/>
          </reference>
          <reference field="8" count="1">
            <x v="2"/>
          </reference>
        </references>
      </pivotArea>
    </format>
    <format dxfId="419">
      <pivotArea dataOnly="0" labelOnly="1" outline="0" fieldPosition="0">
        <references count="4">
          <reference field="0" count="1" selected="0">
            <x v="3"/>
          </reference>
          <reference field="4" count="1" selected="0">
            <x v="0"/>
          </reference>
          <reference field="5" count="1" selected="0">
            <x v="10"/>
          </reference>
          <reference field="8" count="1">
            <x v="2"/>
          </reference>
        </references>
      </pivotArea>
    </format>
    <format dxfId="418">
      <pivotArea dataOnly="0" labelOnly="1" outline="0" fieldPosition="0">
        <references count="4">
          <reference field="0" count="1" selected="0">
            <x v="6"/>
          </reference>
          <reference field="4" count="1" selected="0">
            <x v="0"/>
          </reference>
          <reference field="5" count="1" selected="0">
            <x v="11"/>
          </reference>
          <reference field="8" count="1">
            <x v="2"/>
          </reference>
        </references>
      </pivotArea>
    </format>
    <format dxfId="417">
      <pivotArea dataOnly="0" labelOnly="1" outline="0" fieldPosition="0">
        <references count="5">
          <reference field="0" count="1" selected="0">
            <x v="9"/>
          </reference>
          <reference field="4" count="1" selected="0">
            <x v="2"/>
          </reference>
          <reference field="5" count="1" selected="0">
            <x v="0"/>
          </reference>
          <reference field="8" count="1" selected="0">
            <x v="6"/>
          </reference>
          <reference field="10" count="1">
            <x v="0"/>
          </reference>
        </references>
      </pivotArea>
    </format>
    <format dxfId="416">
      <pivotArea dataOnly="0" labelOnly="1" outline="0" fieldPosition="0">
        <references count="5">
          <reference field="0" count="1" selected="0">
            <x v="14"/>
          </reference>
          <reference field="4" count="1" selected="0">
            <x v="2"/>
          </reference>
          <reference field="5" count="1" selected="0">
            <x v="0"/>
          </reference>
          <reference field="8" count="1" selected="0">
            <x v="5"/>
          </reference>
          <reference field="10" count="1">
            <x v="2"/>
          </reference>
        </references>
      </pivotArea>
    </format>
    <format dxfId="415">
      <pivotArea dataOnly="0" labelOnly="1" outline="0" fieldPosition="0">
        <references count="5">
          <reference field="0" count="1" selected="0">
            <x v="15"/>
          </reference>
          <reference field="4" count="1" selected="0">
            <x v="2"/>
          </reference>
          <reference field="5" count="1" selected="0">
            <x v="1"/>
          </reference>
          <reference field="8" count="1" selected="0">
            <x v="1"/>
          </reference>
          <reference field="10" count="1">
            <x v="0"/>
          </reference>
        </references>
      </pivotArea>
    </format>
    <format dxfId="414">
      <pivotArea dataOnly="0" labelOnly="1" outline="0" fieldPosition="0">
        <references count="5">
          <reference field="0" count="1" selected="0">
            <x v="16"/>
          </reference>
          <reference field="4" count="1" selected="0">
            <x v="2"/>
          </reference>
          <reference field="5" count="1" selected="0">
            <x v="1"/>
          </reference>
          <reference field="8" count="1" selected="0">
            <x v="1"/>
          </reference>
          <reference field="10" count="1">
            <x v="1"/>
          </reference>
        </references>
      </pivotArea>
    </format>
    <format dxfId="413">
      <pivotArea dataOnly="0" labelOnly="1" outline="0" fieldPosition="0">
        <references count="5">
          <reference field="0" count="1" selected="0">
            <x v="17"/>
          </reference>
          <reference field="4" count="1" selected="0">
            <x v="2"/>
          </reference>
          <reference field="5" count="1" selected="0">
            <x v="1"/>
          </reference>
          <reference field="8" count="1" selected="0">
            <x v="1"/>
          </reference>
          <reference field="10" count="1">
            <x v="0"/>
          </reference>
        </references>
      </pivotArea>
    </format>
    <format dxfId="412">
      <pivotArea dataOnly="0" labelOnly="1" outline="0" fieldPosition="0">
        <references count="5">
          <reference field="0" count="1" selected="0">
            <x v="18"/>
          </reference>
          <reference field="4" count="1" selected="0">
            <x v="2"/>
          </reference>
          <reference field="5" count="1" selected="0">
            <x v="1"/>
          </reference>
          <reference field="8" count="1" selected="0">
            <x v="1"/>
          </reference>
          <reference field="10" count="1">
            <x v="1"/>
          </reference>
        </references>
      </pivotArea>
    </format>
    <format dxfId="411">
      <pivotArea dataOnly="0" labelOnly="1" outline="0" fieldPosition="0">
        <references count="5">
          <reference field="0" count="1" selected="0">
            <x v="19"/>
          </reference>
          <reference field="4" count="1" selected="0">
            <x v="2"/>
          </reference>
          <reference field="5" count="1" selected="0">
            <x v="1"/>
          </reference>
          <reference field="8" count="1" selected="0">
            <x v="1"/>
          </reference>
          <reference field="10" count="1">
            <x v="0"/>
          </reference>
        </references>
      </pivotArea>
    </format>
    <format dxfId="410">
      <pivotArea dataOnly="0" labelOnly="1" outline="0" fieldPosition="0">
        <references count="5">
          <reference field="0" count="1" selected="0">
            <x v="20"/>
          </reference>
          <reference field="4" count="1" selected="0">
            <x v="2"/>
          </reference>
          <reference field="5" count="1" selected="0">
            <x v="1"/>
          </reference>
          <reference field="8" count="1" selected="0">
            <x v="1"/>
          </reference>
          <reference field="10" count="1">
            <x v="1"/>
          </reference>
        </references>
      </pivotArea>
    </format>
    <format dxfId="409">
      <pivotArea dataOnly="0" labelOnly="1" outline="0" fieldPosition="0">
        <references count="5">
          <reference field="0" count="1" selected="0">
            <x v="21"/>
          </reference>
          <reference field="4" count="1" selected="0">
            <x v="2"/>
          </reference>
          <reference field="5" count="1" selected="0">
            <x v="2"/>
          </reference>
          <reference field="8" count="1" selected="0">
            <x v="6"/>
          </reference>
          <reference field="10" count="1">
            <x v="0"/>
          </reference>
        </references>
      </pivotArea>
    </format>
    <format dxfId="408">
      <pivotArea dataOnly="0" labelOnly="1" outline="0" fieldPosition="0">
        <references count="5">
          <reference field="0" count="1" selected="0">
            <x v="26"/>
          </reference>
          <reference field="4" count="1" selected="0">
            <x v="2"/>
          </reference>
          <reference field="5" count="1" selected="0">
            <x v="2"/>
          </reference>
          <reference field="8" count="1" selected="0">
            <x v="5"/>
          </reference>
          <reference field="10" count="1">
            <x v="2"/>
          </reference>
        </references>
      </pivotArea>
    </format>
    <format dxfId="407">
      <pivotArea dataOnly="0" labelOnly="1" outline="0" fieldPosition="0">
        <references count="5">
          <reference field="0" count="1" selected="0">
            <x v="27"/>
          </reference>
          <reference field="4" count="1" selected="0">
            <x v="2"/>
          </reference>
          <reference field="5" count="1" selected="0">
            <x v="3"/>
          </reference>
          <reference field="8" count="1" selected="0">
            <x v="7"/>
          </reference>
          <reference field="10" count="1">
            <x v="0"/>
          </reference>
        </references>
      </pivotArea>
    </format>
    <format dxfId="406">
      <pivotArea dataOnly="0" labelOnly="1" outline="0" fieldPosition="0">
        <references count="5">
          <reference field="0" count="1" selected="0">
            <x v="30"/>
          </reference>
          <reference field="4" count="1" selected="0">
            <x v="2"/>
          </reference>
          <reference field="5" count="1" selected="0">
            <x v="3"/>
          </reference>
          <reference field="8" count="1" selected="0">
            <x v="4"/>
          </reference>
          <reference field="10" count="1">
            <x v="1"/>
          </reference>
        </references>
      </pivotArea>
    </format>
    <format dxfId="405">
      <pivotArea dataOnly="0" labelOnly="1" outline="0" fieldPosition="0">
        <references count="5">
          <reference field="0" count="1" selected="0">
            <x v="31"/>
          </reference>
          <reference field="4" count="1" selected="0">
            <x v="2"/>
          </reference>
          <reference field="5" count="1" selected="0">
            <x v="3"/>
          </reference>
          <reference field="8" count="1" selected="0">
            <x v="0"/>
          </reference>
          <reference field="10" count="1">
            <x v="0"/>
          </reference>
        </references>
      </pivotArea>
    </format>
    <format dxfId="404">
      <pivotArea dataOnly="0" labelOnly="1" outline="0" fieldPosition="0">
        <references count="5">
          <reference field="0" count="1" selected="0">
            <x v="33"/>
          </reference>
          <reference field="4" count="1" selected="0">
            <x v="1"/>
          </reference>
          <reference field="5" count="1" selected="0">
            <x v="4"/>
          </reference>
          <reference field="8" count="1" selected="0">
            <x v="5"/>
          </reference>
          <reference field="10" count="1">
            <x v="2"/>
          </reference>
        </references>
      </pivotArea>
    </format>
    <format dxfId="403">
      <pivotArea dataOnly="0" labelOnly="1" outline="0" fieldPosition="0">
        <references count="5">
          <reference field="0" count="1" selected="0">
            <x v="35"/>
          </reference>
          <reference field="4" count="1" selected="0">
            <x v="1"/>
          </reference>
          <reference field="5" count="1" selected="0">
            <x v="4"/>
          </reference>
          <reference field="8" count="1" selected="0">
            <x v="3"/>
          </reference>
          <reference field="10" count="1">
            <x v="1"/>
          </reference>
        </references>
      </pivotArea>
    </format>
    <format dxfId="402">
      <pivotArea dataOnly="0" labelOnly="1" outline="0" fieldPosition="0">
        <references count="5">
          <reference field="0" count="1" selected="0">
            <x v="37"/>
          </reference>
          <reference field="4" count="1" selected="0">
            <x v="1"/>
          </reference>
          <reference field="5" count="1" selected="0">
            <x v="4"/>
          </reference>
          <reference field="8" count="1" selected="0">
            <x v="5"/>
          </reference>
          <reference field="10" count="1">
            <x v="2"/>
          </reference>
        </references>
      </pivotArea>
    </format>
    <format dxfId="401">
      <pivotArea dataOnly="0" labelOnly="1" outline="0" fieldPosition="0">
        <references count="5">
          <reference field="0" count="1" selected="0">
            <x v="38"/>
          </reference>
          <reference field="4" count="1" selected="0">
            <x v="1"/>
          </reference>
          <reference field="5" count="1" selected="0">
            <x v="4"/>
          </reference>
          <reference field="8" count="1" selected="0">
            <x v="4"/>
          </reference>
          <reference field="10" count="1">
            <x v="1"/>
          </reference>
        </references>
      </pivotArea>
    </format>
    <format dxfId="400">
      <pivotArea dataOnly="0" labelOnly="1" outline="0" fieldPosition="0">
        <references count="5">
          <reference field="0" count="1" selected="0">
            <x v="39"/>
          </reference>
          <reference field="4" count="1" selected="0">
            <x v="1"/>
          </reference>
          <reference field="5" count="1" selected="0">
            <x v="5"/>
          </reference>
          <reference field="8" count="1" selected="0">
            <x v="6"/>
          </reference>
          <reference field="10" count="1">
            <x v="0"/>
          </reference>
        </references>
      </pivotArea>
    </format>
    <format dxfId="399">
      <pivotArea dataOnly="0" labelOnly="1" outline="0" fieldPosition="0">
        <references count="5">
          <reference field="0" count="1" selected="0">
            <x v="52"/>
          </reference>
          <reference field="4" count="1" selected="0">
            <x v="1"/>
          </reference>
          <reference field="5" count="1" selected="0">
            <x v="6"/>
          </reference>
          <reference field="8" count="1" selected="0">
            <x v="3"/>
          </reference>
          <reference field="10" count="1">
            <x v="0"/>
          </reference>
        </references>
      </pivotArea>
    </format>
    <format dxfId="398">
      <pivotArea dataOnly="0" labelOnly="1" outline="0" fieldPosition="0">
        <references count="5">
          <reference field="0" count="1" selected="0">
            <x v="67"/>
          </reference>
          <reference field="4" count="1" selected="0">
            <x v="0"/>
          </reference>
          <reference field="5" count="1" selected="0">
            <x v="7"/>
          </reference>
          <reference field="8" count="1" selected="0">
            <x v="2"/>
          </reference>
          <reference field="10" count="1">
            <x v="0"/>
          </reference>
        </references>
      </pivotArea>
    </format>
    <format dxfId="397">
      <pivotArea dataOnly="0" labelOnly="1" outline="0" fieldPosition="0">
        <references count="5">
          <reference field="0" count="1" selected="0">
            <x v="70"/>
          </reference>
          <reference field="4" count="1" selected="0">
            <x v="0"/>
          </reference>
          <reference field="5" count="1" selected="0">
            <x v="8"/>
          </reference>
          <reference field="8" count="1" selected="0">
            <x v="2"/>
          </reference>
          <reference field="10" count="1">
            <x v="0"/>
          </reference>
        </references>
      </pivotArea>
    </format>
    <format dxfId="396">
      <pivotArea dataOnly="0" labelOnly="1" outline="0" fieldPosition="0">
        <references count="5">
          <reference field="0" count="1" selected="0">
            <x v="0"/>
          </reference>
          <reference field="4" count="1" selected="0">
            <x v="0"/>
          </reference>
          <reference field="5" count="1" selected="0">
            <x v="9"/>
          </reference>
          <reference field="8" count="1" selected="0">
            <x v="2"/>
          </reference>
          <reference field="10" count="1">
            <x v="0"/>
          </reference>
        </references>
      </pivotArea>
    </format>
    <format dxfId="395">
      <pivotArea dataOnly="0" labelOnly="1" outline="0" fieldPosition="0">
        <references count="5">
          <reference field="0" count="1" selected="0">
            <x v="3"/>
          </reference>
          <reference field="4" count="1" selected="0">
            <x v="0"/>
          </reference>
          <reference field="5" count="1" selected="0">
            <x v="10"/>
          </reference>
          <reference field="8" count="1" selected="0">
            <x v="2"/>
          </reference>
          <reference field="10" count="1">
            <x v="0"/>
          </reference>
        </references>
      </pivotArea>
    </format>
    <format dxfId="394">
      <pivotArea dataOnly="0" labelOnly="1" outline="0" fieldPosition="0">
        <references count="5">
          <reference field="0" count="1" selected="0">
            <x v="6"/>
          </reference>
          <reference field="4" count="1" selected="0">
            <x v="0"/>
          </reference>
          <reference field="5" count="1" selected="0">
            <x v="11"/>
          </reference>
          <reference field="8" count="1" selected="0">
            <x v="2"/>
          </reference>
          <reference field="10" count="1">
            <x v="0"/>
          </reference>
        </references>
      </pivotArea>
    </format>
    <format dxfId="393">
      <pivotArea dataOnly="0" labelOnly="1" outline="0" fieldPosition="0">
        <references count="6">
          <reference field="0" count="1" selected="0">
            <x v="9"/>
          </reference>
          <reference field="4" count="1" selected="0">
            <x v="2"/>
          </reference>
          <reference field="5" count="1" selected="0">
            <x v="0"/>
          </reference>
          <reference field="8" count="1" selected="0">
            <x v="6"/>
          </reference>
          <reference field="10" count="1" selected="0">
            <x v="0"/>
          </reference>
          <reference field="12" count="1">
            <x v="16"/>
          </reference>
        </references>
      </pivotArea>
    </format>
    <format dxfId="392">
      <pivotArea dataOnly="0" labelOnly="1" outline="0" fieldPosition="0">
        <references count="6">
          <reference field="0" count="1" selected="0">
            <x v="10"/>
          </reference>
          <reference field="4" count="1" selected="0">
            <x v="2"/>
          </reference>
          <reference field="5" count="1" selected="0">
            <x v="0"/>
          </reference>
          <reference field="8" count="1" selected="0">
            <x v="6"/>
          </reference>
          <reference field="10" count="1" selected="0">
            <x v="0"/>
          </reference>
          <reference field="12" count="1">
            <x v="14"/>
          </reference>
        </references>
      </pivotArea>
    </format>
    <format dxfId="391">
      <pivotArea dataOnly="0" labelOnly="1" outline="0" fieldPosition="0">
        <references count="6">
          <reference field="0" count="1" selected="0">
            <x v="11"/>
          </reference>
          <reference field="4" count="1" selected="0">
            <x v="2"/>
          </reference>
          <reference field="5" count="1" selected="0">
            <x v="0"/>
          </reference>
          <reference field="8" count="1" selected="0">
            <x v="3"/>
          </reference>
          <reference field="10" count="1" selected="0">
            <x v="0"/>
          </reference>
          <reference field="12" count="1">
            <x v="11"/>
          </reference>
        </references>
      </pivotArea>
    </format>
    <format dxfId="390">
      <pivotArea dataOnly="0" labelOnly="1" outline="0" fieldPosition="0">
        <references count="6">
          <reference field="0" count="1" selected="0">
            <x v="12"/>
          </reference>
          <reference field="4" count="1" selected="0">
            <x v="2"/>
          </reference>
          <reference field="5" count="1" selected="0">
            <x v="0"/>
          </reference>
          <reference field="8" count="1" selected="0">
            <x v="7"/>
          </reference>
          <reference field="10" count="1" selected="0">
            <x v="0"/>
          </reference>
          <reference field="12" count="2">
            <x v="5"/>
            <x v="8"/>
          </reference>
        </references>
      </pivotArea>
    </format>
    <format dxfId="389">
      <pivotArea dataOnly="0" labelOnly="1" outline="0" fieldPosition="0">
        <references count="6">
          <reference field="0" count="1" selected="0">
            <x v="13"/>
          </reference>
          <reference field="4" count="1" selected="0">
            <x v="2"/>
          </reference>
          <reference field="5" count="1" selected="0">
            <x v="0"/>
          </reference>
          <reference field="8" count="1" selected="0">
            <x v="7"/>
          </reference>
          <reference field="10" count="1" selected="0">
            <x v="0"/>
          </reference>
          <reference field="12" count="2">
            <x v="15"/>
            <x v="18"/>
          </reference>
        </references>
      </pivotArea>
    </format>
    <format dxfId="388">
      <pivotArea dataOnly="0" labelOnly="1" outline="0" fieldPosition="0">
        <references count="6">
          <reference field="0" count="1" selected="0">
            <x v="14"/>
          </reference>
          <reference field="4" count="1" selected="0">
            <x v="2"/>
          </reference>
          <reference field="5" count="1" selected="0">
            <x v="0"/>
          </reference>
          <reference field="8" count="1" selected="0">
            <x v="5"/>
          </reference>
          <reference field="10" count="1" selected="0">
            <x v="2"/>
          </reference>
          <reference field="12" count="1">
            <x v="34"/>
          </reference>
        </references>
      </pivotArea>
    </format>
    <format dxfId="387">
      <pivotArea dataOnly="0" labelOnly="1" outline="0" fieldPosition="0">
        <references count="6">
          <reference field="0" count="1" selected="0">
            <x v="15"/>
          </reference>
          <reference field="4" count="1" selected="0">
            <x v="2"/>
          </reference>
          <reference field="5" count="1" selected="0">
            <x v="1"/>
          </reference>
          <reference field="8" count="1" selected="0">
            <x v="1"/>
          </reference>
          <reference field="10" count="1" selected="0">
            <x v="0"/>
          </reference>
          <reference field="12" count="1">
            <x v="33"/>
          </reference>
        </references>
      </pivotArea>
    </format>
    <format dxfId="386">
      <pivotArea dataOnly="0" labelOnly="1" outline="0" fieldPosition="0">
        <references count="6">
          <reference field="0" count="1" selected="0">
            <x v="21"/>
          </reference>
          <reference field="4" count="1" selected="0">
            <x v="2"/>
          </reference>
          <reference field="5" count="1" selected="0">
            <x v="2"/>
          </reference>
          <reference field="8" count="1" selected="0">
            <x v="6"/>
          </reference>
          <reference field="10" count="1" selected="0">
            <x v="0"/>
          </reference>
          <reference field="12" count="1">
            <x v="13"/>
          </reference>
        </references>
      </pivotArea>
    </format>
    <format dxfId="385">
      <pivotArea dataOnly="0" labelOnly="1" outline="0" fieldPosition="0">
        <references count="6">
          <reference field="0" count="1" selected="0">
            <x v="22"/>
          </reference>
          <reference field="4" count="1" selected="0">
            <x v="2"/>
          </reference>
          <reference field="5" count="1" selected="0">
            <x v="2"/>
          </reference>
          <reference field="8" count="1" selected="0">
            <x v="6"/>
          </reference>
          <reference field="10" count="1" selected="0">
            <x v="0"/>
          </reference>
          <reference field="12" count="1">
            <x v="17"/>
          </reference>
        </references>
      </pivotArea>
    </format>
    <format dxfId="384">
      <pivotArea dataOnly="0" labelOnly="1" outline="0" fieldPosition="0">
        <references count="6">
          <reference field="0" count="1" selected="0">
            <x v="23"/>
          </reference>
          <reference field="4" count="1" selected="0">
            <x v="2"/>
          </reference>
          <reference field="5" count="1" selected="0">
            <x v="2"/>
          </reference>
          <reference field="8" count="1" selected="0">
            <x v="3"/>
          </reference>
          <reference field="10" count="1" selected="0">
            <x v="0"/>
          </reference>
          <reference field="12" count="1">
            <x v="19"/>
          </reference>
        </references>
      </pivotArea>
    </format>
    <format dxfId="383">
      <pivotArea dataOnly="0" labelOnly="1" outline="0" fieldPosition="0">
        <references count="6">
          <reference field="0" count="1" selected="0">
            <x v="24"/>
          </reference>
          <reference field="4" count="1" selected="0">
            <x v="2"/>
          </reference>
          <reference field="5" count="1" selected="0">
            <x v="2"/>
          </reference>
          <reference field="8" count="1" selected="0">
            <x v="7"/>
          </reference>
          <reference field="10" count="1" selected="0">
            <x v="0"/>
          </reference>
          <reference field="12" count="2">
            <x v="0"/>
            <x v="1"/>
          </reference>
        </references>
      </pivotArea>
    </format>
    <format dxfId="382">
      <pivotArea dataOnly="0" labelOnly="1" outline="0" fieldPosition="0">
        <references count="6">
          <reference field="0" count="1" selected="0">
            <x v="25"/>
          </reference>
          <reference field="4" count="1" selected="0">
            <x v="2"/>
          </reference>
          <reference field="5" count="1" selected="0">
            <x v="2"/>
          </reference>
          <reference field="8" count="1" selected="0">
            <x v="7"/>
          </reference>
          <reference field="10" count="1" selected="0">
            <x v="0"/>
          </reference>
          <reference field="12" count="2">
            <x v="15"/>
            <x v="18"/>
          </reference>
        </references>
      </pivotArea>
    </format>
    <format dxfId="381">
      <pivotArea dataOnly="0" labelOnly="1" outline="0" fieldPosition="0">
        <references count="6">
          <reference field="0" count="1" selected="0">
            <x v="26"/>
          </reference>
          <reference field="4" count="1" selected="0">
            <x v="2"/>
          </reference>
          <reference field="5" count="1" selected="0">
            <x v="2"/>
          </reference>
          <reference field="8" count="1" selected="0">
            <x v="5"/>
          </reference>
          <reference field="10" count="1" selected="0">
            <x v="2"/>
          </reference>
          <reference field="12" count="1">
            <x v="34"/>
          </reference>
        </references>
      </pivotArea>
    </format>
    <format dxfId="380">
      <pivotArea dataOnly="0" labelOnly="1" outline="0" fieldPosition="0">
        <references count="6">
          <reference field="0" count="1" selected="0">
            <x v="27"/>
          </reference>
          <reference field="4" count="1" selected="0">
            <x v="2"/>
          </reference>
          <reference field="5" count="1" selected="0">
            <x v="3"/>
          </reference>
          <reference field="8" count="1" selected="0">
            <x v="7"/>
          </reference>
          <reference field="10" count="1" selected="0">
            <x v="0"/>
          </reference>
          <reference field="12" count="1">
            <x v="6"/>
          </reference>
        </references>
      </pivotArea>
    </format>
    <format dxfId="379">
      <pivotArea dataOnly="0" labelOnly="1" outline="0" fieldPosition="0">
        <references count="6">
          <reference field="0" count="1" selected="0">
            <x v="28"/>
          </reference>
          <reference field="4" count="1" selected="0">
            <x v="2"/>
          </reference>
          <reference field="5" count="1" selected="0">
            <x v="3"/>
          </reference>
          <reference field="8" count="1" selected="0">
            <x v="7"/>
          </reference>
          <reference field="10" count="1" selected="0">
            <x v="0"/>
          </reference>
          <reference field="12" count="1">
            <x v="7"/>
          </reference>
        </references>
      </pivotArea>
    </format>
    <format dxfId="378">
      <pivotArea dataOnly="0" labelOnly="1" outline="0" fieldPosition="0">
        <references count="6">
          <reference field="0" count="1" selected="0">
            <x v="29"/>
          </reference>
          <reference field="4" count="1" selected="0">
            <x v="2"/>
          </reference>
          <reference field="5" count="1" selected="0">
            <x v="3"/>
          </reference>
          <reference field="8" count="1" selected="0">
            <x v="3"/>
          </reference>
          <reference field="10" count="1" selected="0">
            <x v="0"/>
          </reference>
          <reference field="12" count="1">
            <x v="11"/>
          </reference>
        </references>
      </pivotArea>
    </format>
    <format dxfId="377">
      <pivotArea dataOnly="0" labelOnly="1" outline="0" fieldPosition="0">
        <references count="6">
          <reference field="0" count="1" selected="0">
            <x v="30"/>
          </reference>
          <reference field="4" count="1" selected="0">
            <x v="2"/>
          </reference>
          <reference field="5" count="1" selected="0">
            <x v="3"/>
          </reference>
          <reference field="8" count="1" selected="0">
            <x v="4"/>
          </reference>
          <reference field="10" count="1" selected="0">
            <x v="1"/>
          </reference>
          <reference field="12" count="2">
            <x v="5"/>
            <x v="8"/>
          </reference>
        </references>
      </pivotArea>
    </format>
    <format dxfId="376">
      <pivotArea dataOnly="0" labelOnly="1" outline="0" fieldPosition="0">
        <references count="6">
          <reference field="0" count="1" selected="0">
            <x v="31"/>
          </reference>
          <reference field="4" count="1" selected="0">
            <x v="2"/>
          </reference>
          <reference field="5" count="1" selected="0">
            <x v="3"/>
          </reference>
          <reference field="8" count="1" selected="0">
            <x v="0"/>
          </reference>
          <reference field="10" count="1" selected="0">
            <x v="0"/>
          </reference>
          <reference field="12" count="1">
            <x v="9"/>
          </reference>
        </references>
      </pivotArea>
    </format>
    <format dxfId="375">
      <pivotArea dataOnly="0" labelOnly="1" outline="0" fieldPosition="0">
        <references count="6">
          <reference field="0" count="1" selected="0">
            <x v="32"/>
          </reference>
          <reference field="4" count="1" selected="0">
            <x v="2"/>
          </reference>
          <reference field="5" count="1" selected="0">
            <x v="3"/>
          </reference>
          <reference field="8" count="1" selected="0">
            <x v="0"/>
          </reference>
          <reference field="10" count="1" selected="0">
            <x v="0"/>
          </reference>
          <reference field="12" count="1">
            <x v="10"/>
          </reference>
        </references>
      </pivotArea>
    </format>
    <format dxfId="374">
      <pivotArea dataOnly="0" labelOnly="1" outline="0" fieldPosition="0">
        <references count="6">
          <reference field="0" count="1" selected="0">
            <x v="35"/>
          </reference>
          <reference field="4" count="1" selected="0">
            <x v="1"/>
          </reference>
          <reference field="5" count="1" selected="0">
            <x v="4"/>
          </reference>
          <reference field="8" count="1" selected="0">
            <x v="3"/>
          </reference>
          <reference field="10" count="1" selected="0">
            <x v="1"/>
          </reference>
          <reference field="12" count="1">
            <x v="4"/>
          </reference>
        </references>
      </pivotArea>
    </format>
    <format dxfId="373">
      <pivotArea dataOnly="0" labelOnly="1" outline="0" fieldPosition="0">
        <references count="6">
          <reference field="0" count="1" selected="0">
            <x v="36"/>
          </reference>
          <reference field="4" count="1" selected="0">
            <x v="1"/>
          </reference>
          <reference field="5" count="1" selected="0">
            <x v="4"/>
          </reference>
          <reference field="8" count="1" selected="0">
            <x v="3"/>
          </reference>
          <reference field="10" count="1" selected="0">
            <x v="1"/>
          </reference>
          <reference field="12" count="1">
            <x v="3"/>
          </reference>
        </references>
      </pivotArea>
    </format>
    <format dxfId="372">
      <pivotArea dataOnly="0" labelOnly="1" outline="0" fieldPosition="0">
        <references count="6">
          <reference field="0" count="1" selected="0">
            <x v="37"/>
          </reference>
          <reference field="4" count="1" selected="0">
            <x v="1"/>
          </reference>
          <reference field="5" count="1" selected="0">
            <x v="4"/>
          </reference>
          <reference field="8" count="1" selected="0">
            <x v="5"/>
          </reference>
          <reference field="10" count="1" selected="0">
            <x v="2"/>
          </reference>
          <reference field="12" count="1">
            <x v="34"/>
          </reference>
        </references>
      </pivotArea>
    </format>
    <format dxfId="371">
      <pivotArea dataOnly="0" labelOnly="1" outline="0" fieldPosition="0">
        <references count="6">
          <reference field="0" count="1" selected="0">
            <x v="38"/>
          </reference>
          <reference field="4" count="1" selected="0">
            <x v="1"/>
          </reference>
          <reference field="5" count="1" selected="0">
            <x v="4"/>
          </reference>
          <reference field="8" count="1" selected="0">
            <x v="4"/>
          </reference>
          <reference field="10" count="1" selected="0">
            <x v="1"/>
          </reference>
          <reference field="12" count="3">
            <x v="0"/>
            <x v="1"/>
            <x v="2"/>
          </reference>
        </references>
      </pivotArea>
    </format>
    <format dxfId="370">
      <pivotArea dataOnly="0" labelOnly="1" outline="0" fieldPosition="0">
        <references count="6">
          <reference field="0" count="1" selected="0">
            <x v="39"/>
          </reference>
          <reference field="4" count="1" selected="0">
            <x v="1"/>
          </reference>
          <reference field="5" count="1" selected="0">
            <x v="5"/>
          </reference>
          <reference field="8" count="1" selected="0">
            <x v="6"/>
          </reference>
          <reference field="10" count="1" selected="0">
            <x v="0"/>
          </reference>
          <reference field="12" count="1">
            <x v="22"/>
          </reference>
        </references>
      </pivotArea>
    </format>
    <format dxfId="369">
      <pivotArea dataOnly="0" labelOnly="1" outline="0" fieldPosition="0">
        <references count="6">
          <reference field="0" count="1" selected="0">
            <x v="40"/>
          </reference>
          <reference field="4" count="1" selected="0">
            <x v="1"/>
          </reference>
          <reference field="5" count="1" selected="0">
            <x v="5"/>
          </reference>
          <reference field="8" count="1" selected="0">
            <x v="3"/>
          </reference>
          <reference field="10" count="1" selected="0">
            <x v="0"/>
          </reference>
          <reference field="12" count="1">
            <x v="12"/>
          </reference>
        </references>
      </pivotArea>
    </format>
    <format dxfId="368">
      <pivotArea dataOnly="0" labelOnly="1" outline="0" fieldPosition="0">
        <references count="6">
          <reference field="0" count="1" selected="0">
            <x v="43"/>
          </reference>
          <reference field="4" count="1" selected="0">
            <x v="1"/>
          </reference>
          <reference field="5" count="1" selected="0">
            <x v="5"/>
          </reference>
          <reference field="8" count="1" selected="0">
            <x v="3"/>
          </reference>
          <reference field="10" count="1" selected="0">
            <x v="0"/>
          </reference>
          <reference field="12" count="1">
            <x v="21"/>
          </reference>
        </references>
      </pivotArea>
    </format>
    <format dxfId="367">
      <pivotArea dataOnly="0" labelOnly="1" outline="0" fieldPosition="0">
        <references count="6">
          <reference field="0" count="1" selected="0">
            <x v="44"/>
          </reference>
          <reference field="4" count="1" selected="0">
            <x v="1"/>
          </reference>
          <reference field="5" count="1" selected="0">
            <x v="5"/>
          </reference>
          <reference field="8" count="1" selected="0">
            <x v="3"/>
          </reference>
          <reference field="10" count="1" selected="0">
            <x v="0"/>
          </reference>
          <reference field="12" count="2">
            <x v="13"/>
            <x v="16"/>
          </reference>
        </references>
      </pivotArea>
    </format>
    <format dxfId="366">
      <pivotArea dataOnly="0" labelOnly="1" outline="0" fieldPosition="0">
        <references count="6">
          <reference field="0" count="1" selected="0">
            <x v="49"/>
          </reference>
          <reference field="4" count="1" selected="0">
            <x v="1"/>
          </reference>
          <reference field="5" count="1" selected="0">
            <x v="5"/>
          </reference>
          <reference field="8" count="1" selected="0">
            <x v="7"/>
          </reference>
          <reference field="10" count="1" selected="0">
            <x v="0"/>
          </reference>
          <reference field="12" count="1">
            <x v="15"/>
          </reference>
        </references>
      </pivotArea>
    </format>
    <format dxfId="365">
      <pivotArea dataOnly="0" labelOnly="1" outline="0" fieldPosition="0">
        <references count="6">
          <reference field="0" count="1" selected="0">
            <x v="50"/>
          </reference>
          <reference field="4" count="1" selected="0">
            <x v="1"/>
          </reference>
          <reference field="5" count="1" selected="0">
            <x v="5"/>
          </reference>
          <reference field="8" count="1" selected="0">
            <x v="6"/>
          </reference>
          <reference field="10" count="1" selected="0">
            <x v="0"/>
          </reference>
          <reference field="12" count="1">
            <x v="20"/>
          </reference>
        </references>
      </pivotArea>
    </format>
    <format dxfId="364">
      <pivotArea dataOnly="0" labelOnly="1" outline="0" fieldPosition="0">
        <references count="6">
          <reference field="0" count="1" selected="0">
            <x v="52"/>
          </reference>
          <reference field="4" count="1" selected="0">
            <x v="1"/>
          </reference>
          <reference field="5" count="1" selected="0">
            <x v="6"/>
          </reference>
          <reference field="8" count="1" selected="0">
            <x v="3"/>
          </reference>
          <reference field="10" count="1" selected="0">
            <x v="0"/>
          </reference>
          <reference field="12" count="1">
            <x v="21"/>
          </reference>
        </references>
      </pivotArea>
    </format>
    <format dxfId="363">
      <pivotArea dataOnly="0" labelOnly="1" outline="0" fieldPosition="0">
        <references count="6">
          <reference field="0" count="1" selected="0">
            <x v="53"/>
          </reference>
          <reference field="4" count="1" selected="0">
            <x v="1"/>
          </reference>
          <reference field="5" count="1" selected="0">
            <x v="6"/>
          </reference>
          <reference field="8" count="1" selected="0">
            <x v="6"/>
          </reference>
          <reference field="10" count="1" selected="0">
            <x v="0"/>
          </reference>
          <reference field="12" count="1">
            <x v="15"/>
          </reference>
        </references>
      </pivotArea>
    </format>
    <format dxfId="362">
      <pivotArea dataOnly="0" labelOnly="1" outline="0" fieldPosition="0">
        <references count="6">
          <reference field="0" count="1" selected="0">
            <x v="58"/>
          </reference>
          <reference field="4" count="1" selected="0">
            <x v="1"/>
          </reference>
          <reference field="5" count="1" selected="0">
            <x v="6"/>
          </reference>
          <reference field="8" count="1" selected="0">
            <x v="3"/>
          </reference>
          <reference field="10" count="1" selected="0">
            <x v="0"/>
          </reference>
          <reference field="12" count="1">
            <x v="24"/>
          </reference>
        </references>
      </pivotArea>
    </format>
    <format dxfId="361">
      <pivotArea dataOnly="0" labelOnly="1" outline="0" fieldPosition="0">
        <references count="6">
          <reference field="0" count="1" selected="0">
            <x v="64"/>
          </reference>
          <reference field="4" count="1" selected="0">
            <x v="1"/>
          </reference>
          <reference field="5" count="1" selected="0">
            <x v="6"/>
          </reference>
          <reference field="8" count="1" selected="0">
            <x v="6"/>
          </reference>
          <reference field="10" count="1" selected="0">
            <x v="0"/>
          </reference>
          <reference field="12" count="1">
            <x v="35"/>
          </reference>
        </references>
      </pivotArea>
    </format>
    <format dxfId="360">
      <pivotArea dataOnly="0" labelOnly="1" outline="0" fieldPosition="0">
        <references count="6">
          <reference field="0" count="1" selected="0">
            <x v="65"/>
          </reference>
          <reference field="4" count="1" selected="0">
            <x v="1"/>
          </reference>
          <reference field="5" count="1" selected="0">
            <x v="6"/>
          </reference>
          <reference field="8" count="1" selected="0">
            <x v="7"/>
          </reference>
          <reference field="10" count="1" selected="0">
            <x v="0"/>
          </reference>
          <reference field="12" count="2">
            <x v="0"/>
            <x v="1"/>
          </reference>
        </references>
      </pivotArea>
    </format>
    <format dxfId="359">
      <pivotArea dataOnly="0" labelOnly="1" outline="0" fieldPosition="0">
        <references count="6">
          <reference field="0" count="1" selected="0">
            <x v="67"/>
          </reference>
          <reference field="4" count="1" selected="0">
            <x v="0"/>
          </reference>
          <reference field="5" count="1" selected="0">
            <x v="7"/>
          </reference>
          <reference field="8" count="1" selected="0">
            <x v="2"/>
          </reference>
          <reference field="10" count="1" selected="0">
            <x v="0"/>
          </reference>
          <reference field="12" count="1">
            <x v="25"/>
          </reference>
        </references>
      </pivotArea>
    </format>
    <format dxfId="358">
      <pivotArea dataOnly="0" labelOnly="1" outline="0" fieldPosition="0">
        <references count="6">
          <reference field="0" count="1" selected="0">
            <x v="68"/>
          </reference>
          <reference field="4" count="1" selected="0">
            <x v="0"/>
          </reference>
          <reference field="5" count="1" selected="0">
            <x v="7"/>
          </reference>
          <reference field="8" count="1" selected="0">
            <x v="2"/>
          </reference>
          <reference field="10" count="1" selected="0">
            <x v="0"/>
          </reference>
          <reference field="12" count="1">
            <x v="26"/>
          </reference>
        </references>
      </pivotArea>
    </format>
    <format dxfId="357">
      <pivotArea dataOnly="0" labelOnly="1" outline="0" fieldPosition="0">
        <references count="6">
          <reference field="0" count="1" selected="0">
            <x v="69"/>
          </reference>
          <reference field="4" count="1" selected="0">
            <x v="0"/>
          </reference>
          <reference field="5" count="1" selected="0">
            <x v="7"/>
          </reference>
          <reference field="8" count="1" selected="0">
            <x v="2"/>
          </reference>
          <reference field="10" count="1" selected="0">
            <x v="0"/>
          </reference>
          <reference field="12" count="1">
            <x v="25"/>
          </reference>
        </references>
      </pivotArea>
    </format>
    <format dxfId="356">
      <pivotArea dataOnly="0" labelOnly="1" outline="0" fieldPosition="0">
        <references count="6">
          <reference field="0" count="1" selected="0">
            <x v="70"/>
          </reference>
          <reference field="4" count="1" selected="0">
            <x v="0"/>
          </reference>
          <reference field="5" count="1" selected="0">
            <x v="8"/>
          </reference>
          <reference field="8" count="1" selected="0">
            <x v="2"/>
          </reference>
          <reference field="10" count="1" selected="0">
            <x v="0"/>
          </reference>
          <reference field="12" count="1">
            <x v="8"/>
          </reference>
        </references>
      </pivotArea>
    </format>
    <format dxfId="355">
      <pivotArea dataOnly="0" labelOnly="1" outline="0" fieldPosition="0">
        <references count="6">
          <reference field="0" count="1" selected="0">
            <x v="71"/>
          </reference>
          <reference field="4" count="1" selected="0">
            <x v="0"/>
          </reference>
          <reference field="5" count="1" selected="0">
            <x v="8"/>
          </reference>
          <reference field="8" count="1" selected="0">
            <x v="2"/>
          </reference>
          <reference field="10" count="1" selected="0">
            <x v="0"/>
          </reference>
          <reference field="12" count="1">
            <x v="20"/>
          </reference>
        </references>
      </pivotArea>
    </format>
    <format dxfId="354">
      <pivotArea dataOnly="0" labelOnly="1" outline="0" fieldPosition="0">
        <references count="6">
          <reference field="0" count="1" selected="0">
            <x v="72"/>
          </reference>
          <reference field="4" count="1" selected="0">
            <x v="0"/>
          </reference>
          <reference field="5" count="1" selected="0">
            <x v="8"/>
          </reference>
          <reference field="8" count="1" selected="0">
            <x v="2"/>
          </reference>
          <reference field="10" count="1" selected="0">
            <x v="0"/>
          </reference>
          <reference field="12" count="1">
            <x v="27"/>
          </reference>
        </references>
      </pivotArea>
    </format>
    <format dxfId="353">
      <pivotArea dataOnly="0" labelOnly="1" outline="0" fieldPosition="0">
        <references count="6">
          <reference field="0" count="1" selected="0">
            <x v="0"/>
          </reference>
          <reference field="4" count="1" selected="0">
            <x v="0"/>
          </reference>
          <reference field="5" count="1" selected="0">
            <x v="9"/>
          </reference>
          <reference field="8" count="1" selected="0">
            <x v="2"/>
          </reference>
          <reference field="10" count="1" selected="0">
            <x v="0"/>
          </reference>
          <reference field="12" count="1">
            <x v="28"/>
          </reference>
        </references>
      </pivotArea>
    </format>
    <format dxfId="352">
      <pivotArea dataOnly="0" labelOnly="1" outline="0" fieldPosition="0">
        <references count="6">
          <reference field="0" count="1" selected="0">
            <x v="1"/>
          </reference>
          <reference field="4" count="1" selected="0">
            <x v="0"/>
          </reference>
          <reference field="5" count="1" selected="0">
            <x v="9"/>
          </reference>
          <reference field="8" count="1" selected="0">
            <x v="2"/>
          </reference>
          <reference field="10" count="1" selected="0">
            <x v="0"/>
          </reference>
          <reference field="12" count="1">
            <x v="31"/>
          </reference>
        </references>
      </pivotArea>
    </format>
    <format dxfId="351">
      <pivotArea dataOnly="0" labelOnly="1" outline="0" fieldPosition="0">
        <references count="6">
          <reference field="0" count="1" selected="0">
            <x v="2"/>
          </reference>
          <reference field="4" count="1" selected="0">
            <x v="0"/>
          </reference>
          <reference field="5" count="1" selected="0">
            <x v="9"/>
          </reference>
          <reference field="8" count="1" selected="0">
            <x v="2"/>
          </reference>
          <reference field="10" count="1" selected="0">
            <x v="0"/>
          </reference>
          <reference field="12" count="1">
            <x v="28"/>
          </reference>
        </references>
      </pivotArea>
    </format>
    <format dxfId="350">
      <pivotArea dataOnly="0" labelOnly="1" outline="0" fieldPosition="0">
        <references count="6">
          <reference field="0" count="1" selected="0">
            <x v="3"/>
          </reference>
          <reference field="4" count="1" selected="0">
            <x v="0"/>
          </reference>
          <reference field="5" count="1" selected="0">
            <x v="10"/>
          </reference>
          <reference field="8" count="1" selected="0">
            <x v="2"/>
          </reference>
          <reference field="10" count="1" selected="0">
            <x v="0"/>
          </reference>
          <reference field="12" count="1">
            <x v="29"/>
          </reference>
        </references>
      </pivotArea>
    </format>
    <format dxfId="349">
      <pivotArea dataOnly="0" labelOnly="1" outline="0" fieldPosition="0">
        <references count="6">
          <reference field="0" count="1" selected="0">
            <x v="4"/>
          </reference>
          <reference field="4" count="1" selected="0">
            <x v="0"/>
          </reference>
          <reference field="5" count="1" selected="0">
            <x v="10"/>
          </reference>
          <reference field="8" count="1" selected="0">
            <x v="2"/>
          </reference>
          <reference field="10" count="1" selected="0">
            <x v="0"/>
          </reference>
          <reference field="12" count="1">
            <x v="32"/>
          </reference>
        </references>
      </pivotArea>
    </format>
    <format dxfId="348">
      <pivotArea dataOnly="0" labelOnly="1" outline="0" fieldPosition="0">
        <references count="6">
          <reference field="0" count="1" selected="0">
            <x v="5"/>
          </reference>
          <reference field="4" count="1" selected="0">
            <x v="0"/>
          </reference>
          <reference field="5" count="1" selected="0">
            <x v="10"/>
          </reference>
          <reference field="8" count="1" selected="0">
            <x v="2"/>
          </reference>
          <reference field="10" count="1" selected="0">
            <x v="0"/>
          </reference>
          <reference field="12" count="1">
            <x v="29"/>
          </reference>
        </references>
      </pivotArea>
    </format>
    <format dxfId="347">
      <pivotArea dataOnly="0" labelOnly="1" outline="0" fieldPosition="0">
        <references count="6">
          <reference field="0" count="1" selected="0">
            <x v="6"/>
          </reference>
          <reference field="4" count="1" selected="0">
            <x v="0"/>
          </reference>
          <reference field="5" count="1" selected="0">
            <x v="11"/>
          </reference>
          <reference field="8" count="1" selected="0">
            <x v="2"/>
          </reference>
          <reference field="10" count="1" selected="0">
            <x v="0"/>
          </reference>
          <reference field="12" count="1">
            <x v="30"/>
          </reference>
        </references>
      </pivotArea>
    </format>
    <format dxfId="346">
      <pivotArea dataOnly="0" labelOnly="1" outline="0" fieldPosition="0">
        <references count="6">
          <reference field="0" count="1" selected="0">
            <x v="7"/>
          </reference>
          <reference field="4" count="1" selected="0">
            <x v="0"/>
          </reference>
          <reference field="5" count="1" selected="0">
            <x v="11"/>
          </reference>
          <reference field="8" count="1" selected="0">
            <x v="2"/>
          </reference>
          <reference field="10" count="1" selected="0">
            <x v="0"/>
          </reference>
          <reference field="12" count="1">
            <x v="32"/>
          </reference>
        </references>
      </pivotArea>
    </format>
    <format dxfId="345">
      <pivotArea dataOnly="0" labelOnly="1" outline="0" fieldPosition="0">
        <references count="6">
          <reference field="0" count="1" selected="0">
            <x v="8"/>
          </reference>
          <reference field="4" count="1" selected="0">
            <x v="0"/>
          </reference>
          <reference field="5" count="1" selected="0">
            <x v="11"/>
          </reference>
          <reference field="8" count="1" selected="0">
            <x v="2"/>
          </reference>
          <reference field="10" count="1" selected="0">
            <x v="0"/>
          </reference>
          <reference field="12" count="1">
            <x v="30"/>
          </reference>
        </references>
      </pivotArea>
    </format>
    <format dxfId="344">
      <pivotArea dataOnly="0" labelOnly="1" outline="0" fieldPosition="0">
        <references count="7">
          <reference field="0" count="1" selected="0">
            <x v="9"/>
          </reference>
          <reference field="4" count="1" selected="0">
            <x v="2"/>
          </reference>
          <reference field="5" count="1" selected="0">
            <x v="0"/>
          </reference>
          <reference field="8" count="1" selected="0">
            <x v="6"/>
          </reference>
          <reference field="10" count="1" selected="0">
            <x v="0"/>
          </reference>
          <reference field="11" count="1">
            <x v="4"/>
          </reference>
          <reference field="12" count="1" selected="0">
            <x v="16"/>
          </reference>
        </references>
      </pivotArea>
    </format>
    <format dxfId="343">
      <pivotArea dataOnly="0" labelOnly="1" outline="0" fieldPosition="0">
        <references count="7">
          <reference field="0" count="1" selected="0">
            <x v="12"/>
          </reference>
          <reference field="4" count="1" selected="0">
            <x v="2"/>
          </reference>
          <reference field="5" count="1" selected="0">
            <x v="0"/>
          </reference>
          <reference field="8" count="1" selected="0">
            <x v="7"/>
          </reference>
          <reference field="10" count="1" selected="0">
            <x v="0"/>
          </reference>
          <reference field="11" count="1">
            <x v="0"/>
          </reference>
          <reference field="12" count="1" selected="0">
            <x v="5"/>
          </reference>
        </references>
      </pivotArea>
    </format>
    <format dxfId="342">
      <pivotArea dataOnly="0" labelOnly="1" outline="0" fieldPosition="0">
        <references count="7">
          <reference field="0" count="1" selected="0">
            <x v="13"/>
          </reference>
          <reference field="4" count="1" selected="0">
            <x v="2"/>
          </reference>
          <reference field="5" count="1" selected="0">
            <x v="0"/>
          </reference>
          <reference field="8" count="1" selected="0">
            <x v="7"/>
          </reference>
          <reference field="10" count="1" selected="0">
            <x v="0"/>
          </reference>
          <reference field="11" count="1">
            <x v="1"/>
          </reference>
          <reference field="12" count="1" selected="0">
            <x v="18"/>
          </reference>
        </references>
      </pivotArea>
    </format>
    <format dxfId="341">
      <pivotArea dataOnly="0" labelOnly="1" outline="0" fieldPosition="0">
        <references count="7">
          <reference field="0" count="1" selected="0">
            <x v="14"/>
          </reference>
          <reference field="4" count="1" selected="0">
            <x v="2"/>
          </reference>
          <reference field="5" count="1" selected="0">
            <x v="0"/>
          </reference>
          <reference field="8" count="1" selected="0">
            <x v="5"/>
          </reference>
          <reference field="10" count="1" selected="0">
            <x v="2"/>
          </reference>
          <reference field="11" count="1">
            <x v="7"/>
          </reference>
          <reference field="12" count="1" selected="0">
            <x v="34"/>
          </reference>
        </references>
      </pivotArea>
    </format>
    <format dxfId="340">
      <pivotArea dataOnly="0" labelOnly="1" outline="0" fieldPosition="0">
        <references count="7">
          <reference field="0" count="1" selected="0">
            <x v="15"/>
          </reference>
          <reference field="4" count="1" selected="0">
            <x v="2"/>
          </reference>
          <reference field="5" count="1" selected="0">
            <x v="1"/>
          </reference>
          <reference field="8" count="1" selected="0">
            <x v="1"/>
          </reference>
          <reference field="10" count="1" selected="0">
            <x v="0"/>
          </reference>
          <reference field="11" count="1">
            <x v="7"/>
          </reference>
          <reference field="12" count="1" selected="0">
            <x v="33"/>
          </reference>
        </references>
      </pivotArea>
    </format>
    <format dxfId="339">
      <pivotArea dataOnly="0" labelOnly="1" outline="0" fieldPosition="0">
        <references count="7">
          <reference field="0" count="1" selected="0">
            <x v="21"/>
          </reference>
          <reference field="4" count="1" selected="0">
            <x v="2"/>
          </reference>
          <reference field="5" count="1" selected="0">
            <x v="2"/>
          </reference>
          <reference field="8" count="1" selected="0">
            <x v="6"/>
          </reference>
          <reference field="10" count="1" selected="0">
            <x v="0"/>
          </reference>
          <reference field="11" count="1">
            <x v="2"/>
          </reference>
          <reference field="12" count="1" selected="0">
            <x v="13"/>
          </reference>
        </references>
      </pivotArea>
    </format>
    <format dxfId="338">
      <pivotArea dataOnly="0" labelOnly="1" outline="0" fieldPosition="0">
        <references count="7">
          <reference field="0" count="1" selected="0">
            <x v="22"/>
          </reference>
          <reference field="4" count="1" selected="0">
            <x v="2"/>
          </reference>
          <reference field="5" count="1" selected="0">
            <x v="2"/>
          </reference>
          <reference field="8" count="1" selected="0">
            <x v="6"/>
          </reference>
          <reference field="10" count="1" selected="0">
            <x v="0"/>
          </reference>
          <reference field="11" count="1">
            <x v="4"/>
          </reference>
          <reference field="12" count="1" selected="0">
            <x v="17"/>
          </reference>
        </references>
      </pivotArea>
    </format>
    <format dxfId="337">
      <pivotArea dataOnly="0" labelOnly="1" outline="0" fieldPosition="0">
        <references count="7">
          <reference field="0" count="1" selected="0">
            <x v="24"/>
          </reference>
          <reference field="4" count="1" selected="0">
            <x v="2"/>
          </reference>
          <reference field="5" count="1" selected="0">
            <x v="2"/>
          </reference>
          <reference field="8" count="1" selected="0">
            <x v="7"/>
          </reference>
          <reference field="10" count="1" selected="0">
            <x v="0"/>
          </reference>
          <reference field="11" count="1">
            <x v="0"/>
          </reference>
          <reference field="12" count="1" selected="0">
            <x v="0"/>
          </reference>
        </references>
      </pivotArea>
    </format>
    <format dxfId="336">
      <pivotArea dataOnly="0" labelOnly="1" outline="0" fieldPosition="0">
        <references count="7">
          <reference field="0" count="1" selected="0">
            <x v="25"/>
          </reference>
          <reference field="4" count="1" selected="0">
            <x v="2"/>
          </reference>
          <reference field="5" count="1" selected="0">
            <x v="2"/>
          </reference>
          <reference field="8" count="1" selected="0">
            <x v="7"/>
          </reference>
          <reference field="10" count="1" selected="0">
            <x v="0"/>
          </reference>
          <reference field="11" count="1">
            <x v="1"/>
          </reference>
          <reference field="12" count="1" selected="0">
            <x v="18"/>
          </reference>
        </references>
      </pivotArea>
    </format>
    <format dxfId="335">
      <pivotArea dataOnly="0" labelOnly="1" outline="0" fieldPosition="0">
        <references count="7">
          <reference field="0" count="1" selected="0">
            <x v="26"/>
          </reference>
          <reference field="4" count="1" selected="0">
            <x v="2"/>
          </reference>
          <reference field="5" count="1" selected="0">
            <x v="2"/>
          </reference>
          <reference field="8" count="1" selected="0">
            <x v="5"/>
          </reference>
          <reference field="10" count="1" selected="0">
            <x v="2"/>
          </reference>
          <reference field="11" count="1">
            <x v="7"/>
          </reference>
          <reference field="12" count="1" selected="0">
            <x v="34"/>
          </reference>
        </references>
      </pivotArea>
    </format>
    <format dxfId="334">
      <pivotArea dataOnly="0" labelOnly="1" outline="0" fieldPosition="0">
        <references count="7">
          <reference field="0" count="1" selected="0">
            <x v="27"/>
          </reference>
          <reference field="4" count="1" selected="0">
            <x v="2"/>
          </reference>
          <reference field="5" count="1" selected="0">
            <x v="3"/>
          </reference>
          <reference field="8" count="1" selected="0">
            <x v="7"/>
          </reference>
          <reference field="10" count="1" selected="0">
            <x v="0"/>
          </reference>
          <reference field="11" count="1">
            <x v="6"/>
          </reference>
          <reference field="12" count="1" selected="0">
            <x v="6"/>
          </reference>
        </references>
      </pivotArea>
    </format>
    <format dxfId="333">
      <pivotArea dataOnly="0" labelOnly="1" outline="0" fieldPosition="0">
        <references count="7">
          <reference field="0" count="1" selected="0">
            <x v="29"/>
          </reference>
          <reference field="4" count="1" selected="0">
            <x v="2"/>
          </reference>
          <reference field="5" count="1" selected="0">
            <x v="3"/>
          </reference>
          <reference field="8" count="1" selected="0">
            <x v="3"/>
          </reference>
          <reference field="10" count="1" selected="0">
            <x v="0"/>
          </reference>
          <reference field="11" count="1">
            <x v="4"/>
          </reference>
          <reference field="12" count="1" selected="0">
            <x v="11"/>
          </reference>
        </references>
      </pivotArea>
    </format>
    <format dxfId="332">
      <pivotArea dataOnly="0" labelOnly="1" outline="0" fieldPosition="0">
        <references count="7">
          <reference field="0" count="1" selected="0">
            <x v="30"/>
          </reference>
          <reference field="4" count="1" selected="0">
            <x v="2"/>
          </reference>
          <reference field="5" count="1" selected="0">
            <x v="3"/>
          </reference>
          <reference field="8" count="1" selected="0">
            <x v="4"/>
          </reference>
          <reference field="10" count="1" selected="0">
            <x v="1"/>
          </reference>
          <reference field="11" count="1">
            <x v="0"/>
          </reference>
          <reference field="12" count="1" selected="0">
            <x v="5"/>
          </reference>
        </references>
      </pivotArea>
    </format>
    <format dxfId="331">
      <pivotArea dataOnly="0" labelOnly="1" outline="0" fieldPosition="0">
        <references count="7">
          <reference field="0" count="1" selected="0">
            <x v="31"/>
          </reference>
          <reference field="4" count="1" selected="0">
            <x v="2"/>
          </reference>
          <reference field="5" count="1" selected="0">
            <x v="3"/>
          </reference>
          <reference field="8" count="1" selected="0">
            <x v="0"/>
          </reference>
          <reference field="10" count="1" selected="0">
            <x v="0"/>
          </reference>
          <reference field="11" count="1">
            <x v="6"/>
          </reference>
          <reference field="12" count="1" selected="0">
            <x v="9"/>
          </reference>
        </references>
      </pivotArea>
    </format>
    <format dxfId="330">
      <pivotArea dataOnly="0" labelOnly="1" outline="0" fieldPosition="0">
        <references count="7">
          <reference field="0" count="1" selected="0">
            <x v="35"/>
          </reference>
          <reference field="4" count="1" selected="0">
            <x v="1"/>
          </reference>
          <reference field="5" count="1" selected="0">
            <x v="4"/>
          </reference>
          <reference field="8" count="1" selected="0">
            <x v="3"/>
          </reference>
          <reference field="10" count="1" selected="0">
            <x v="1"/>
          </reference>
          <reference field="11" count="1">
            <x v="4"/>
          </reference>
          <reference field="12" count="1" selected="0">
            <x v="4"/>
          </reference>
        </references>
      </pivotArea>
    </format>
    <format dxfId="329">
      <pivotArea dataOnly="0" labelOnly="1" outline="0" fieldPosition="0">
        <references count="7">
          <reference field="0" count="1" selected="0">
            <x v="37"/>
          </reference>
          <reference field="4" count="1" selected="0">
            <x v="1"/>
          </reference>
          <reference field="5" count="1" selected="0">
            <x v="4"/>
          </reference>
          <reference field="8" count="1" selected="0">
            <x v="5"/>
          </reference>
          <reference field="10" count="1" selected="0">
            <x v="2"/>
          </reference>
          <reference field="11" count="1">
            <x v="7"/>
          </reference>
          <reference field="12" count="1" selected="0">
            <x v="34"/>
          </reference>
        </references>
      </pivotArea>
    </format>
    <format dxfId="328">
      <pivotArea dataOnly="0" labelOnly="1" outline="0" fieldPosition="0">
        <references count="7">
          <reference field="0" count="1" selected="0">
            <x v="38"/>
          </reference>
          <reference field="4" count="1" selected="0">
            <x v="1"/>
          </reference>
          <reference field="5" count="1" selected="0">
            <x v="4"/>
          </reference>
          <reference field="8" count="1" selected="0">
            <x v="4"/>
          </reference>
          <reference field="10" count="1" selected="0">
            <x v="1"/>
          </reference>
          <reference field="11" count="1">
            <x v="0"/>
          </reference>
          <reference field="12" count="1" selected="0">
            <x v="0"/>
          </reference>
        </references>
      </pivotArea>
    </format>
    <format dxfId="327">
      <pivotArea dataOnly="0" labelOnly="1" outline="0" fieldPosition="0">
        <references count="7">
          <reference field="0" count="1" selected="0">
            <x v="39"/>
          </reference>
          <reference field="4" count="1" selected="0">
            <x v="1"/>
          </reference>
          <reference field="5" count="1" selected="0">
            <x v="5"/>
          </reference>
          <reference field="8" count="1" selected="0">
            <x v="6"/>
          </reference>
          <reference field="10" count="1" selected="0">
            <x v="0"/>
          </reference>
          <reference field="11" count="1">
            <x v="1"/>
          </reference>
          <reference field="12" count="1" selected="0">
            <x v="22"/>
          </reference>
        </references>
      </pivotArea>
    </format>
    <format dxfId="326">
      <pivotArea dataOnly="0" labelOnly="1" outline="0" fieldPosition="0">
        <references count="7">
          <reference field="0" count="1" selected="0">
            <x v="40"/>
          </reference>
          <reference field="4" count="1" selected="0">
            <x v="1"/>
          </reference>
          <reference field="5" count="1" selected="0">
            <x v="5"/>
          </reference>
          <reference field="8" count="1" selected="0">
            <x v="3"/>
          </reference>
          <reference field="10" count="1" selected="0">
            <x v="0"/>
          </reference>
          <reference field="11" count="1">
            <x v="6"/>
          </reference>
          <reference field="12" count="1" selected="0">
            <x v="12"/>
          </reference>
        </references>
      </pivotArea>
    </format>
    <format dxfId="325">
      <pivotArea dataOnly="0" labelOnly="1" outline="0" fieldPosition="0">
        <references count="7">
          <reference field="0" count="1" selected="0">
            <x v="43"/>
          </reference>
          <reference field="4" count="1" selected="0">
            <x v="1"/>
          </reference>
          <reference field="5" count="1" selected="0">
            <x v="5"/>
          </reference>
          <reference field="8" count="1" selected="0">
            <x v="3"/>
          </reference>
          <reference field="10" count="1" selected="0">
            <x v="0"/>
          </reference>
          <reference field="11" count="1">
            <x v="4"/>
          </reference>
          <reference field="12" count="1" selected="0">
            <x v="21"/>
          </reference>
        </references>
      </pivotArea>
    </format>
    <format dxfId="324">
      <pivotArea dataOnly="0" labelOnly="1" outline="0" fieldPosition="0">
        <references count="7">
          <reference field="0" count="1" selected="0">
            <x v="44"/>
          </reference>
          <reference field="4" count="1" selected="0">
            <x v="1"/>
          </reference>
          <reference field="5" count="1" selected="0">
            <x v="5"/>
          </reference>
          <reference field="8" count="1" selected="0">
            <x v="3"/>
          </reference>
          <reference field="10" count="1" selected="0">
            <x v="0"/>
          </reference>
          <reference field="11" count="1">
            <x v="1"/>
          </reference>
          <reference field="12" count="1" selected="0">
            <x v="13"/>
          </reference>
        </references>
      </pivotArea>
    </format>
    <format dxfId="323">
      <pivotArea dataOnly="0" labelOnly="1" outline="0" fieldPosition="0">
        <references count="7">
          <reference field="0" count="1" selected="0">
            <x v="49"/>
          </reference>
          <reference field="4" count="1" selected="0">
            <x v="1"/>
          </reference>
          <reference field="5" count="1" selected="0">
            <x v="5"/>
          </reference>
          <reference field="8" count="1" selected="0">
            <x v="7"/>
          </reference>
          <reference field="10" count="1" selected="0">
            <x v="0"/>
          </reference>
          <reference field="11" count="1">
            <x v="0"/>
          </reference>
          <reference field="12" count="1" selected="0">
            <x v="15"/>
          </reference>
        </references>
      </pivotArea>
    </format>
    <format dxfId="322">
      <pivotArea dataOnly="0" labelOnly="1" outline="0" fieldPosition="0">
        <references count="7">
          <reference field="0" count="1" selected="0">
            <x v="50"/>
          </reference>
          <reference field="4" count="1" selected="0">
            <x v="1"/>
          </reference>
          <reference field="5" count="1" selected="0">
            <x v="5"/>
          </reference>
          <reference field="8" count="1" selected="0">
            <x v="6"/>
          </reference>
          <reference field="10" count="1" selected="0">
            <x v="0"/>
          </reference>
          <reference field="11" count="1">
            <x v="4"/>
          </reference>
          <reference field="12" count="1" selected="0">
            <x v="20"/>
          </reference>
        </references>
      </pivotArea>
    </format>
    <format dxfId="321">
      <pivotArea dataOnly="0" labelOnly="1" outline="0" fieldPosition="0">
        <references count="7">
          <reference field="0" count="1" selected="0">
            <x v="52"/>
          </reference>
          <reference field="4" count="1" selected="0">
            <x v="1"/>
          </reference>
          <reference field="5" count="1" selected="0">
            <x v="6"/>
          </reference>
          <reference field="8" count="1" selected="0">
            <x v="3"/>
          </reference>
          <reference field="10" count="1" selected="0">
            <x v="0"/>
          </reference>
          <reference field="11" count="1">
            <x v="4"/>
          </reference>
          <reference field="12" count="1" selected="0">
            <x v="21"/>
          </reference>
        </references>
      </pivotArea>
    </format>
    <format dxfId="320">
      <pivotArea dataOnly="0" labelOnly="1" outline="0" fieldPosition="0">
        <references count="7">
          <reference field="0" count="1" selected="0">
            <x v="53"/>
          </reference>
          <reference field="4" count="1" selected="0">
            <x v="1"/>
          </reference>
          <reference field="5" count="1" selected="0">
            <x v="6"/>
          </reference>
          <reference field="8" count="1" selected="0">
            <x v="6"/>
          </reference>
          <reference field="10" count="1" selected="0">
            <x v="0"/>
          </reference>
          <reference field="11" count="1">
            <x v="0"/>
          </reference>
          <reference field="12" count="1" selected="0">
            <x v="15"/>
          </reference>
        </references>
      </pivotArea>
    </format>
    <format dxfId="319">
      <pivotArea dataOnly="0" labelOnly="1" outline="0" fieldPosition="0">
        <references count="7">
          <reference field="0" count="1" selected="0">
            <x v="58"/>
          </reference>
          <reference field="4" count="1" selected="0">
            <x v="1"/>
          </reference>
          <reference field="5" count="1" selected="0">
            <x v="6"/>
          </reference>
          <reference field="8" count="1" selected="0">
            <x v="3"/>
          </reference>
          <reference field="10" count="1" selected="0">
            <x v="0"/>
          </reference>
          <reference field="11" count="1">
            <x v="4"/>
          </reference>
          <reference field="12" count="1" selected="0">
            <x v="24"/>
          </reference>
        </references>
      </pivotArea>
    </format>
    <format dxfId="318">
      <pivotArea dataOnly="0" labelOnly="1" outline="0" fieldPosition="0">
        <references count="7">
          <reference field="0" count="1" selected="0">
            <x v="64"/>
          </reference>
          <reference field="4" count="1" selected="0">
            <x v="1"/>
          </reference>
          <reference field="5" count="1" selected="0">
            <x v="6"/>
          </reference>
          <reference field="8" count="1" selected="0">
            <x v="6"/>
          </reference>
          <reference field="10" count="1" selected="0">
            <x v="0"/>
          </reference>
          <reference field="11" count="1">
            <x v="5"/>
          </reference>
          <reference field="12" count="1" selected="0">
            <x v="35"/>
          </reference>
        </references>
      </pivotArea>
    </format>
    <format dxfId="317">
      <pivotArea dataOnly="0" labelOnly="1" outline="0" fieldPosition="0">
        <references count="7">
          <reference field="0" count="1" selected="0">
            <x v="65"/>
          </reference>
          <reference field="4" count="1" selected="0">
            <x v="1"/>
          </reference>
          <reference field="5" count="1" selected="0">
            <x v="6"/>
          </reference>
          <reference field="8" count="1" selected="0">
            <x v="7"/>
          </reference>
          <reference field="10" count="1" selected="0">
            <x v="0"/>
          </reference>
          <reference field="11" count="1">
            <x v="0"/>
          </reference>
          <reference field="12" count="1" selected="0">
            <x v="0"/>
          </reference>
        </references>
      </pivotArea>
    </format>
    <format dxfId="316">
      <pivotArea dataOnly="0" labelOnly="1" outline="0" fieldPosition="0">
        <references count="7">
          <reference field="0" count="1" selected="0">
            <x v="67"/>
          </reference>
          <reference field="4" count="1" selected="0">
            <x v="0"/>
          </reference>
          <reference field="5" count="1" selected="0">
            <x v="7"/>
          </reference>
          <reference field="8" count="1" selected="0">
            <x v="2"/>
          </reference>
          <reference field="10" count="1" selected="0">
            <x v="0"/>
          </reference>
          <reference field="11" count="1">
            <x v="0"/>
          </reference>
          <reference field="12" count="1" selected="0">
            <x v="25"/>
          </reference>
        </references>
      </pivotArea>
    </format>
    <format dxfId="315">
      <pivotArea dataOnly="0" labelOnly="1" outline="0" fieldPosition="0">
        <references count="7">
          <reference field="0" count="1" selected="0">
            <x v="68"/>
          </reference>
          <reference field="4" count="1" selected="0">
            <x v="0"/>
          </reference>
          <reference field="5" count="1" selected="0">
            <x v="7"/>
          </reference>
          <reference field="8" count="1" selected="0">
            <x v="2"/>
          </reference>
          <reference field="10" count="1" selected="0">
            <x v="0"/>
          </reference>
          <reference field="11" count="1">
            <x v="1"/>
          </reference>
          <reference field="12" count="1" selected="0">
            <x v="26"/>
          </reference>
        </references>
      </pivotArea>
    </format>
    <format dxfId="314">
      <pivotArea dataOnly="0" labelOnly="1" outline="0" fieldPosition="0">
        <references count="7">
          <reference field="0" count="1" selected="0">
            <x v="69"/>
          </reference>
          <reference field="4" count="1" selected="0">
            <x v="0"/>
          </reference>
          <reference field="5" count="1" selected="0">
            <x v="7"/>
          </reference>
          <reference field="8" count="1" selected="0">
            <x v="2"/>
          </reference>
          <reference field="10" count="1" selected="0">
            <x v="0"/>
          </reference>
          <reference field="11" count="1">
            <x v="0"/>
          </reference>
          <reference field="12" count="1" selected="0">
            <x v="25"/>
          </reference>
        </references>
      </pivotArea>
    </format>
    <format dxfId="313">
      <pivotArea dataOnly="0" labelOnly="1" outline="0" fieldPosition="0">
        <references count="7">
          <reference field="0" count="1" selected="0">
            <x v="70"/>
          </reference>
          <reference field="4" count="1" selected="0">
            <x v="0"/>
          </reference>
          <reference field="5" count="1" selected="0">
            <x v="8"/>
          </reference>
          <reference field="8" count="1" selected="0">
            <x v="2"/>
          </reference>
          <reference field="10" count="1" selected="0">
            <x v="0"/>
          </reference>
          <reference field="11" count="1">
            <x v="0"/>
          </reference>
          <reference field="12" count="1" selected="0">
            <x v="8"/>
          </reference>
        </references>
      </pivotArea>
    </format>
    <format dxfId="312">
      <pivotArea dataOnly="0" labelOnly="1" outline="0" fieldPosition="0">
        <references count="7">
          <reference field="0" count="1" selected="0">
            <x v="71"/>
          </reference>
          <reference field="4" count="1" selected="0">
            <x v="0"/>
          </reference>
          <reference field="5" count="1" selected="0">
            <x v="8"/>
          </reference>
          <reference field="8" count="1" selected="0">
            <x v="2"/>
          </reference>
          <reference field="10" count="1" selected="0">
            <x v="0"/>
          </reference>
          <reference field="11" count="1">
            <x v="5"/>
          </reference>
          <reference field="12" count="1" selected="0">
            <x v="20"/>
          </reference>
        </references>
      </pivotArea>
    </format>
    <format dxfId="311">
      <pivotArea dataOnly="0" labelOnly="1" outline="0" fieldPosition="0">
        <references count="7">
          <reference field="0" count="1" selected="0">
            <x v="72"/>
          </reference>
          <reference field="4" count="1" selected="0">
            <x v="0"/>
          </reference>
          <reference field="5" count="1" selected="0">
            <x v="8"/>
          </reference>
          <reference field="8" count="1" selected="0">
            <x v="2"/>
          </reference>
          <reference field="10" count="1" selected="0">
            <x v="0"/>
          </reference>
          <reference field="11" count="1">
            <x v="0"/>
          </reference>
          <reference field="12" count="1" selected="0">
            <x v="27"/>
          </reference>
        </references>
      </pivotArea>
    </format>
    <format dxfId="310">
      <pivotArea dataOnly="0" labelOnly="1" outline="0" fieldPosition="0">
        <references count="7">
          <reference field="0" count="1" selected="0">
            <x v="0"/>
          </reference>
          <reference field="4" count="1" selected="0">
            <x v="0"/>
          </reference>
          <reference field="5" count="1" selected="0">
            <x v="9"/>
          </reference>
          <reference field="8" count="1" selected="0">
            <x v="2"/>
          </reference>
          <reference field="10" count="1" selected="0">
            <x v="0"/>
          </reference>
          <reference field="11" count="1">
            <x v="0"/>
          </reference>
          <reference field="12" count="1" selected="0">
            <x v="28"/>
          </reference>
        </references>
      </pivotArea>
    </format>
    <format dxfId="309">
      <pivotArea dataOnly="0" labelOnly="1" outline="0" fieldPosition="0">
        <references count="7">
          <reference field="0" count="1" selected="0">
            <x v="1"/>
          </reference>
          <reference field="4" count="1" selected="0">
            <x v="0"/>
          </reference>
          <reference field="5" count="1" selected="0">
            <x v="9"/>
          </reference>
          <reference field="8" count="1" selected="0">
            <x v="2"/>
          </reference>
          <reference field="10" count="1" selected="0">
            <x v="0"/>
          </reference>
          <reference field="11" count="1">
            <x v="5"/>
          </reference>
          <reference field="12" count="1" selected="0">
            <x v="31"/>
          </reference>
        </references>
      </pivotArea>
    </format>
    <format dxfId="308">
      <pivotArea dataOnly="0" labelOnly="1" outline="0" fieldPosition="0">
        <references count="7">
          <reference field="0" count="1" selected="0">
            <x v="2"/>
          </reference>
          <reference field="4" count="1" selected="0">
            <x v="0"/>
          </reference>
          <reference field="5" count="1" selected="0">
            <x v="9"/>
          </reference>
          <reference field="8" count="1" selected="0">
            <x v="2"/>
          </reference>
          <reference field="10" count="1" selected="0">
            <x v="0"/>
          </reference>
          <reference field="11" count="1">
            <x v="0"/>
          </reference>
          <reference field="12" count="1" selected="0">
            <x v="28"/>
          </reference>
        </references>
      </pivotArea>
    </format>
    <format dxfId="307">
      <pivotArea dataOnly="0" labelOnly="1" outline="0" fieldPosition="0">
        <references count="7">
          <reference field="0" count="1" selected="0">
            <x v="3"/>
          </reference>
          <reference field="4" count="1" selected="0">
            <x v="0"/>
          </reference>
          <reference field="5" count="1" selected="0">
            <x v="10"/>
          </reference>
          <reference field="8" count="1" selected="0">
            <x v="2"/>
          </reference>
          <reference field="10" count="1" selected="0">
            <x v="0"/>
          </reference>
          <reference field="11" count="1">
            <x v="3"/>
          </reference>
          <reference field="12" count="1" selected="0">
            <x v="29"/>
          </reference>
        </references>
      </pivotArea>
    </format>
    <format dxfId="306">
      <pivotArea dataOnly="0" labelOnly="1" outline="0" fieldPosition="0">
        <references count="7">
          <reference field="0" count="1" selected="0">
            <x v="4"/>
          </reference>
          <reference field="4" count="1" selected="0">
            <x v="0"/>
          </reference>
          <reference field="5" count="1" selected="0">
            <x v="10"/>
          </reference>
          <reference field="8" count="1" selected="0">
            <x v="2"/>
          </reference>
          <reference field="10" count="1" selected="0">
            <x v="0"/>
          </reference>
          <reference field="11" count="1">
            <x v="5"/>
          </reference>
          <reference field="12" count="1" selected="0">
            <x v="32"/>
          </reference>
        </references>
      </pivotArea>
    </format>
    <format dxfId="305">
      <pivotArea dataOnly="0" labelOnly="1" outline="0" fieldPosition="0">
        <references count="7">
          <reference field="0" count="1" selected="0">
            <x v="5"/>
          </reference>
          <reference field="4" count="1" selected="0">
            <x v="0"/>
          </reference>
          <reference field="5" count="1" selected="0">
            <x v="10"/>
          </reference>
          <reference field="8" count="1" selected="0">
            <x v="2"/>
          </reference>
          <reference field="10" count="1" selected="0">
            <x v="0"/>
          </reference>
          <reference field="11" count="1">
            <x v="3"/>
          </reference>
          <reference field="12" count="1" selected="0">
            <x v="29"/>
          </reference>
        </references>
      </pivotArea>
    </format>
    <format dxfId="304">
      <pivotArea dataOnly="0" labelOnly="1" outline="0" fieldPosition="0">
        <references count="7">
          <reference field="0" count="1" selected="0">
            <x v="6"/>
          </reference>
          <reference field="4" count="1" selected="0">
            <x v="0"/>
          </reference>
          <reference field="5" count="1" selected="0">
            <x v="11"/>
          </reference>
          <reference field="8" count="1" selected="0">
            <x v="2"/>
          </reference>
          <reference field="10" count="1" selected="0">
            <x v="0"/>
          </reference>
          <reference field="11" count="1">
            <x v="3"/>
          </reference>
          <reference field="12" count="1" selected="0">
            <x v="30"/>
          </reference>
        </references>
      </pivotArea>
    </format>
    <format dxfId="303">
      <pivotArea dataOnly="0" labelOnly="1" outline="0" fieldPosition="0">
        <references count="7">
          <reference field="0" count="1" selected="0">
            <x v="7"/>
          </reference>
          <reference field="4" count="1" selected="0">
            <x v="0"/>
          </reference>
          <reference field="5" count="1" selected="0">
            <x v="11"/>
          </reference>
          <reference field="8" count="1" selected="0">
            <x v="2"/>
          </reference>
          <reference field="10" count="1" selected="0">
            <x v="0"/>
          </reference>
          <reference field="11" count="1">
            <x v="5"/>
          </reference>
          <reference field="12" count="1" selected="0">
            <x v="32"/>
          </reference>
        </references>
      </pivotArea>
    </format>
    <format dxfId="302">
      <pivotArea dataOnly="0" labelOnly="1" outline="0" fieldPosition="0">
        <references count="7">
          <reference field="0" count="1" selected="0">
            <x v="8"/>
          </reference>
          <reference field="4" count="1" selected="0">
            <x v="0"/>
          </reference>
          <reference field="5" count="1" selected="0">
            <x v="11"/>
          </reference>
          <reference field="8" count="1" selected="0">
            <x v="2"/>
          </reference>
          <reference field="10" count="1" selected="0">
            <x v="0"/>
          </reference>
          <reference field="11" count="1">
            <x v="3"/>
          </reference>
          <reference field="12" count="1" selected="0">
            <x v="30"/>
          </reference>
        </references>
      </pivotArea>
    </format>
    <format dxfId="301">
      <pivotArea dataOnly="0" labelOnly="1" outline="0" fieldPosition="0">
        <references count="8">
          <reference field="0" count="1" selected="0">
            <x v="9"/>
          </reference>
          <reference field="4" count="1" selected="0">
            <x v="2"/>
          </reference>
          <reference field="5" count="1" selected="0">
            <x v="0"/>
          </reference>
          <reference field="8" count="1" selected="0">
            <x v="6"/>
          </reference>
          <reference field="10" count="1" selected="0">
            <x v="0"/>
          </reference>
          <reference field="11" count="1" selected="0">
            <x v="4"/>
          </reference>
          <reference field="12" count="1" selected="0">
            <x v="16"/>
          </reference>
          <reference field="13" count="1">
            <x v="5"/>
          </reference>
        </references>
      </pivotArea>
    </format>
    <format dxfId="300">
      <pivotArea dataOnly="0" labelOnly="1" outline="0" fieldPosition="0">
        <references count="8">
          <reference field="0" count="1" selected="0">
            <x v="10"/>
          </reference>
          <reference field="4" count="1" selected="0">
            <x v="2"/>
          </reference>
          <reference field="5" count="1" selected="0">
            <x v="0"/>
          </reference>
          <reference field="8" count="1" selected="0">
            <x v="6"/>
          </reference>
          <reference field="10" count="1" selected="0">
            <x v="0"/>
          </reference>
          <reference field="11" count="1" selected="0">
            <x v="4"/>
          </reference>
          <reference field="12" count="1" selected="0">
            <x v="14"/>
          </reference>
          <reference field="13" count="1">
            <x v="19"/>
          </reference>
        </references>
      </pivotArea>
    </format>
    <format dxfId="299">
      <pivotArea dataOnly="0" labelOnly="1" outline="0" fieldPosition="0">
        <references count="8">
          <reference field="0" count="1" selected="0">
            <x v="11"/>
          </reference>
          <reference field="4" count="1" selected="0">
            <x v="2"/>
          </reference>
          <reference field="5" count="1" selected="0">
            <x v="0"/>
          </reference>
          <reference field="8" count="1" selected="0">
            <x v="3"/>
          </reference>
          <reference field="10" count="1" selected="0">
            <x v="0"/>
          </reference>
          <reference field="11" count="1" selected="0">
            <x v="4"/>
          </reference>
          <reference field="12" count="1" selected="0">
            <x v="11"/>
          </reference>
          <reference field="13" count="1">
            <x v="21"/>
          </reference>
        </references>
      </pivotArea>
    </format>
    <format dxfId="298">
      <pivotArea dataOnly="0" labelOnly="1" outline="0" fieldPosition="0">
        <references count="8">
          <reference field="0" count="1" selected="0">
            <x v="12"/>
          </reference>
          <reference field="4" count="1" selected="0">
            <x v="2"/>
          </reference>
          <reference field="5" count="1" selected="0">
            <x v="0"/>
          </reference>
          <reference field="8" count="1" selected="0">
            <x v="7"/>
          </reference>
          <reference field="10" count="1" selected="0">
            <x v="0"/>
          </reference>
          <reference field="11" count="1" selected="0">
            <x v="0"/>
          </reference>
          <reference field="12" count="1" selected="0">
            <x v="5"/>
          </reference>
          <reference field="13" count="1">
            <x v="7"/>
          </reference>
        </references>
      </pivotArea>
    </format>
    <format dxfId="297">
      <pivotArea dataOnly="0" labelOnly="1" outline="0" fieldPosition="0">
        <references count="8">
          <reference field="0" count="1" selected="0">
            <x v="12"/>
          </reference>
          <reference field="4" count="1" selected="0">
            <x v="2"/>
          </reference>
          <reference field="5" count="1" selected="0">
            <x v="0"/>
          </reference>
          <reference field="8" count="1" selected="0">
            <x v="7"/>
          </reference>
          <reference field="10" count="1" selected="0">
            <x v="0"/>
          </reference>
          <reference field="11" count="1" selected="0">
            <x v="0"/>
          </reference>
          <reference field="12" count="1" selected="0">
            <x v="8"/>
          </reference>
          <reference field="13" count="1">
            <x v="8"/>
          </reference>
        </references>
      </pivotArea>
    </format>
    <format dxfId="296">
      <pivotArea dataOnly="0" labelOnly="1" outline="0" fieldPosition="0">
        <references count="8">
          <reference field="0" count="1" selected="0">
            <x v="13"/>
          </reference>
          <reference field="4" count="1" selected="0">
            <x v="2"/>
          </reference>
          <reference field="5" count="1" selected="0">
            <x v="0"/>
          </reference>
          <reference field="8" count="1" selected="0">
            <x v="7"/>
          </reference>
          <reference field="10" count="1" selected="0">
            <x v="0"/>
          </reference>
          <reference field="11" count="1" selected="0">
            <x v="0"/>
          </reference>
          <reference field="12" count="1" selected="0">
            <x v="15"/>
          </reference>
          <reference field="13" count="1">
            <x v="34"/>
          </reference>
        </references>
      </pivotArea>
    </format>
    <format dxfId="295">
      <pivotArea dataOnly="0" labelOnly="1" outline="0" fieldPosition="0">
        <references count="8">
          <reference field="0" count="1" selected="0">
            <x v="13"/>
          </reference>
          <reference field="4" count="1" selected="0">
            <x v="2"/>
          </reference>
          <reference field="5" count="1" selected="0">
            <x v="0"/>
          </reference>
          <reference field="8" count="1" selected="0">
            <x v="7"/>
          </reference>
          <reference field="10" count="1" selected="0">
            <x v="0"/>
          </reference>
          <reference field="11" count="1" selected="0">
            <x v="1"/>
          </reference>
          <reference field="12" count="1" selected="0">
            <x v="18"/>
          </reference>
          <reference field="13" count="1">
            <x v="24"/>
          </reference>
        </references>
      </pivotArea>
    </format>
    <format dxfId="294">
      <pivotArea dataOnly="0" labelOnly="1" outline="0" fieldPosition="0">
        <references count="8">
          <reference field="0" count="1" selected="0">
            <x v="14"/>
          </reference>
          <reference field="4" count="1" selected="0">
            <x v="2"/>
          </reference>
          <reference field="5" count="1" selected="0">
            <x v="0"/>
          </reference>
          <reference field="8" count="1" selected="0">
            <x v="5"/>
          </reference>
          <reference field="10" count="1" selected="0">
            <x v="2"/>
          </reference>
          <reference field="11" count="1" selected="0">
            <x v="7"/>
          </reference>
          <reference field="12" count="1" selected="0">
            <x v="34"/>
          </reference>
          <reference field="13" count="1">
            <x v="18"/>
          </reference>
        </references>
      </pivotArea>
    </format>
    <format dxfId="293">
      <pivotArea dataOnly="0" labelOnly="1" outline="0" fieldPosition="0">
        <references count="8">
          <reference field="0" count="1" selected="0">
            <x v="15"/>
          </reference>
          <reference field="4" count="1" selected="0">
            <x v="2"/>
          </reference>
          <reference field="5" count="1" selected="0">
            <x v="1"/>
          </reference>
          <reference field="8" count="1" selected="0">
            <x v="1"/>
          </reference>
          <reference field="10" count="1" selected="0">
            <x v="0"/>
          </reference>
          <reference field="11" count="1" selected="0">
            <x v="7"/>
          </reference>
          <reference field="12" count="1" selected="0">
            <x v="33"/>
          </reference>
          <reference field="13" count="1">
            <x v="2"/>
          </reference>
        </references>
      </pivotArea>
    </format>
    <format dxfId="292">
      <pivotArea dataOnly="0" labelOnly="1" outline="0" fieldPosition="0">
        <references count="8">
          <reference field="0" count="1" selected="0">
            <x v="16"/>
          </reference>
          <reference field="4" count="1" selected="0">
            <x v="2"/>
          </reference>
          <reference field="5" count="1" selected="0">
            <x v="1"/>
          </reference>
          <reference field="8" count="1" selected="0">
            <x v="1"/>
          </reference>
          <reference field="10" count="1" selected="0">
            <x v="1"/>
          </reference>
          <reference field="11" count="1" selected="0">
            <x v="7"/>
          </reference>
          <reference field="12" count="1" selected="0">
            <x v="33"/>
          </reference>
          <reference field="13" count="1">
            <x v="2"/>
          </reference>
        </references>
      </pivotArea>
    </format>
    <format dxfId="291">
      <pivotArea dataOnly="0" labelOnly="1" outline="0" fieldPosition="0">
        <references count="8">
          <reference field="0" count="1" selected="0">
            <x v="17"/>
          </reference>
          <reference field="4" count="1" selected="0">
            <x v="2"/>
          </reference>
          <reference field="5" count="1" selected="0">
            <x v="1"/>
          </reference>
          <reference field="8" count="1" selected="0">
            <x v="1"/>
          </reference>
          <reference field="10" count="1" selected="0">
            <x v="0"/>
          </reference>
          <reference field="11" count="1" selected="0">
            <x v="7"/>
          </reference>
          <reference field="12" count="1" selected="0">
            <x v="33"/>
          </reference>
          <reference field="13" count="1">
            <x v="2"/>
          </reference>
        </references>
      </pivotArea>
    </format>
    <format dxfId="290">
      <pivotArea dataOnly="0" labelOnly="1" outline="0" fieldPosition="0">
        <references count="8">
          <reference field="0" count="1" selected="0">
            <x v="18"/>
          </reference>
          <reference field="4" count="1" selected="0">
            <x v="2"/>
          </reference>
          <reference field="5" count="1" selected="0">
            <x v="1"/>
          </reference>
          <reference field="8" count="1" selected="0">
            <x v="1"/>
          </reference>
          <reference field="10" count="1" selected="0">
            <x v="1"/>
          </reference>
          <reference field="11" count="1" selected="0">
            <x v="7"/>
          </reference>
          <reference field="12" count="1" selected="0">
            <x v="33"/>
          </reference>
          <reference field="13" count="1">
            <x v="2"/>
          </reference>
        </references>
      </pivotArea>
    </format>
    <format dxfId="289">
      <pivotArea dataOnly="0" labelOnly="1" outline="0" fieldPosition="0">
        <references count="8">
          <reference field="0" count="1" selected="0">
            <x v="19"/>
          </reference>
          <reference field="4" count="1" selected="0">
            <x v="2"/>
          </reference>
          <reference field="5" count="1" selected="0">
            <x v="1"/>
          </reference>
          <reference field="8" count="1" selected="0">
            <x v="1"/>
          </reference>
          <reference field="10" count="1" selected="0">
            <x v="0"/>
          </reference>
          <reference field="11" count="1" selected="0">
            <x v="7"/>
          </reference>
          <reference field="12" count="1" selected="0">
            <x v="33"/>
          </reference>
          <reference field="13" count="1">
            <x v="2"/>
          </reference>
        </references>
      </pivotArea>
    </format>
    <format dxfId="288">
      <pivotArea dataOnly="0" labelOnly="1" outline="0" fieldPosition="0">
        <references count="8">
          <reference field="0" count="1" selected="0">
            <x v="20"/>
          </reference>
          <reference field="4" count="1" selected="0">
            <x v="2"/>
          </reference>
          <reference field="5" count="1" selected="0">
            <x v="1"/>
          </reference>
          <reference field="8" count="1" selected="0">
            <x v="1"/>
          </reference>
          <reference field="10" count="1" selected="0">
            <x v="1"/>
          </reference>
          <reference field="11" count="1" selected="0">
            <x v="7"/>
          </reference>
          <reference field="12" count="1" selected="0">
            <x v="33"/>
          </reference>
          <reference field="13" count="1">
            <x v="2"/>
          </reference>
        </references>
      </pivotArea>
    </format>
    <format dxfId="287">
      <pivotArea dataOnly="0" labelOnly="1" outline="0" fieldPosition="0">
        <references count="8">
          <reference field="0" count="1" selected="0">
            <x v="21"/>
          </reference>
          <reference field="4" count="1" selected="0">
            <x v="2"/>
          </reference>
          <reference field="5" count="1" selected="0">
            <x v="2"/>
          </reference>
          <reference field="8" count="1" selected="0">
            <x v="6"/>
          </reference>
          <reference field="10" count="1" selected="0">
            <x v="0"/>
          </reference>
          <reference field="11" count="1" selected="0">
            <x v="2"/>
          </reference>
          <reference field="12" count="1" selected="0">
            <x v="13"/>
          </reference>
          <reference field="13" count="1">
            <x v="4"/>
          </reference>
        </references>
      </pivotArea>
    </format>
    <format dxfId="286">
      <pivotArea dataOnly="0" labelOnly="1" outline="0" fieldPosition="0">
        <references count="8">
          <reference field="0" count="1" selected="0">
            <x v="22"/>
          </reference>
          <reference field="4" count="1" selected="0">
            <x v="2"/>
          </reference>
          <reference field="5" count="1" selected="0">
            <x v="2"/>
          </reference>
          <reference field="8" count="1" selected="0">
            <x v="6"/>
          </reference>
          <reference field="10" count="1" selected="0">
            <x v="0"/>
          </reference>
          <reference field="11" count="1" selected="0">
            <x v="4"/>
          </reference>
          <reference field="12" count="1" selected="0">
            <x v="17"/>
          </reference>
          <reference field="13" count="1">
            <x v="20"/>
          </reference>
        </references>
      </pivotArea>
    </format>
    <format dxfId="285">
      <pivotArea dataOnly="0" labelOnly="1" outline="0" fieldPosition="0">
        <references count="8">
          <reference field="0" count="1" selected="0">
            <x v="23"/>
          </reference>
          <reference field="4" count="1" selected="0">
            <x v="2"/>
          </reference>
          <reference field="5" count="1" selected="0">
            <x v="2"/>
          </reference>
          <reference field="8" count="1" selected="0">
            <x v="3"/>
          </reference>
          <reference field="10" count="1" selected="0">
            <x v="0"/>
          </reference>
          <reference field="11" count="1" selected="0">
            <x v="4"/>
          </reference>
          <reference field="12" count="1" selected="0">
            <x v="19"/>
          </reference>
          <reference field="13" count="1">
            <x v="22"/>
          </reference>
        </references>
      </pivotArea>
    </format>
    <format dxfId="284">
      <pivotArea dataOnly="0" labelOnly="1" outline="0" fieldPosition="0">
        <references count="8">
          <reference field="0" count="1" selected="0">
            <x v="24"/>
          </reference>
          <reference field="4" count="1" selected="0">
            <x v="2"/>
          </reference>
          <reference field="5" count="1" selected="0">
            <x v="2"/>
          </reference>
          <reference field="8" count="1" selected="0">
            <x v="7"/>
          </reference>
          <reference field="10" count="1" selected="0">
            <x v="0"/>
          </reference>
          <reference field="11" count="1" selected="0">
            <x v="0"/>
          </reference>
          <reference field="12" count="1" selected="0">
            <x v="0"/>
          </reference>
          <reference field="13" count="1">
            <x v="10"/>
          </reference>
        </references>
      </pivotArea>
    </format>
    <format dxfId="283">
      <pivotArea dataOnly="0" labelOnly="1" outline="0" fieldPosition="0">
        <references count="8">
          <reference field="0" count="1" selected="0">
            <x v="24"/>
          </reference>
          <reference field="4" count="1" selected="0">
            <x v="2"/>
          </reference>
          <reference field="5" count="1" selected="0">
            <x v="2"/>
          </reference>
          <reference field="8" count="1" selected="0">
            <x v="7"/>
          </reference>
          <reference field="10" count="1" selected="0">
            <x v="0"/>
          </reference>
          <reference field="11" count="1" selected="0">
            <x v="0"/>
          </reference>
          <reference field="12" count="1" selected="0">
            <x v="1"/>
          </reference>
          <reference field="13" count="1">
            <x v="25"/>
          </reference>
        </references>
      </pivotArea>
    </format>
    <format dxfId="282">
      <pivotArea dataOnly="0" labelOnly="1" outline="0" fieldPosition="0">
        <references count="8">
          <reference field="0" count="1" selected="0">
            <x v="25"/>
          </reference>
          <reference field="4" count="1" selected="0">
            <x v="2"/>
          </reference>
          <reference field="5" count="1" selected="0">
            <x v="2"/>
          </reference>
          <reference field="8" count="1" selected="0">
            <x v="7"/>
          </reference>
          <reference field="10" count="1" selected="0">
            <x v="0"/>
          </reference>
          <reference field="11" count="1" selected="0">
            <x v="0"/>
          </reference>
          <reference field="12" count="1" selected="0">
            <x v="15"/>
          </reference>
          <reference field="13" count="1">
            <x v="34"/>
          </reference>
        </references>
      </pivotArea>
    </format>
    <format dxfId="281">
      <pivotArea dataOnly="0" labelOnly="1" outline="0" fieldPosition="0">
        <references count="8">
          <reference field="0" count="1" selected="0">
            <x v="25"/>
          </reference>
          <reference field="4" count="1" selected="0">
            <x v="2"/>
          </reference>
          <reference field="5" count="1" selected="0">
            <x v="2"/>
          </reference>
          <reference field="8" count="1" selected="0">
            <x v="7"/>
          </reference>
          <reference field="10" count="1" selected="0">
            <x v="0"/>
          </reference>
          <reference field="11" count="1" selected="0">
            <x v="1"/>
          </reference>
          <reference field="12" count="1" selected="0">
            <x v="18"/>
          </reference>
          <reference field="13" count="1">
            <x v="24"/>
          </reference>
        </references>
      </pivotArea>
    </format>
    <format dxfId="280">
      <pivotArea dataOnly="0" labelOnly="1" outline="0" fieldPosition="0">
        <references count="8">
          <reference field="0" count="1" selected="0">
            <x v="26"/>
          </reference>
          <reference field="4" count="1" selected="0">
            <x v="2"/>
          </reference>
          <reference field="5" count="1" selected="0">
            <x v="2"/>
          </reference>
          <reference field="8" count="1" selected="0">
            <x v="5"/>
          </reference>
          <reference field="10" count="1" selected="0">
            <x v="2"/>
          </reference>
          <reference field="11" count="1" selected="0">
            <x v="7"/>
          </reference>
          <reference field="12" count="1" selected="0">
            <x v="34"/>
          </reference>
          <reference field="13" count="1">
            <x v="18"/>
          </reference>
        </references>
      </pivotArea>
    </format>
    <format dxfId="279">
      <pivotArea dataOnly="0" labelOnly="1" outline="0" fieldPosition="0">
        <references count="8">
          <reference field="0" count="1" selected="0">
            <x v="27"/>
          </reference>
          <reference field="4" count="1" selected="0">
            <x v="2"/>
          </reference>
          <reference field="5" count="1" selected="0">
            <x v="3"/>
          </reference>
          <reference field="8" count="1" selected="0">
            <x v="7"/>
          </reference>
          <reference field="10" count="1" selected="0">
            <x v="0"/>
          </reference>
          <reference field="11" count="1" selected="0">
            <x v="6"/>
          </reference>
          <reference field="12" count="1" selected="0">
            <x v="6"/>
          </reference>
          <reference field="13" count="1">
            <x v="33"/>
          </reference>
        </references>
      </pivotArea>
    </format>
    <format dxfId="278">
      <pivotArea dataOnly="0" labelOnly="1" outline="0" fieldPosition="0">
        <references count="8">
          <reference field="0" count="1" selected="0">
            <x v="28"/>
          </reference>
          <reference field="4" count="1" selected="0">
            <x v="2"/>
          </reference>
          <reference field="5" count="1" selected="0">
            <x v="3"/>
          </reference>
          <reference field="8" count="1" selected="0">
            <x v="7"/>
          </reference>
          <reference field="10" count="1" selected="0">
            <x v="0"/>
          </reference>
          <reference field="11" count="1" selected="0">
            <x v="6"/>
          </reference>
          <reference field="12" count="1" selected="0">
            <x v="7"/>
          </reference>
          <reference field="13" count="1">
            <x v="15"/>
          </reference>
        </references>
      </pivotArea>
    </format>
    <format dxfId="277">
      <pivotArea dataOnly="0" labelOnly="1" outline="0" fieldPosition="0">
        <references count="8">
          <reference field="0" count="1" selected="0">
            <x v="29"/>
          </reference>
          <reference field="4" count="1" selected="0">
            <x v="2"/>
          </reference>
          <reference field="5" count="1" selected="0">
            <x v="3"/>
          </reference>
          <reference field="8" count="1" selected="0">
            <x v="3"/>
          </reference>
          <reference field="10" count="1" selected="0">
            <x v="0"/>
          </reference>
          <reference field="11" count="1" selected="0">
            <x v="4"/>
          </reference>
          <reference field="12" count="1" selected="0">
            <x v="11"/>
          </reference>
          <reference field="13" count="1">
            <x v="21"/>
          </reference>
        </references>
      </pivotArea>
    </format>
    <format dxfId="276">
      <pivotArea dataOnly="0" labelOnly="1" outline="0" fieldPosition="0">
        <references count="8">
          <reference field="0" count="1" selected="0">
            <x v="30"/>
          </reference>
          <reference field="4" count="1" selected="0">
            <x v="2"/>
          </reference>
          <reference field="5" count="1" selected="0">
            <x v="3"/>
          </reference>
          <reference field="8" count="1" selected="0">
            <x v="4"/>
          </reference>
          <reference field="10" count="1" selected="0">
            <x v="1"/>
          </reference>
          <reference field="11" count="1" selected="0">
            <x v="0"/>
          </reference>
          <reference field="12" count="1" selected="0">
            <x v="5"/>
          </reference>
          <reference field="13" count="1">
            <x v="7"/>
          </reference>
        </references>
      </pivotArea>
    </format>
    <format dxfId="275">
      <pivotArea dataOnly="0" labelOnly="1" outline="0" fieldPosition="0">
        <references count="8">
          <reference field="0" count="1" selected="0">
            <x v="30"/>
          </reference>
          <reference field="4" count="1" selected="0">
            <x v="2"/>
          </reference>
          <reference field="5" count="1" selected="0">
            <x v="3"/>
          </reference>
          <reference field="8" count="1" selected="0">
            <x v="4"/>
          </reference>
          <reference field="10" count="1" selected="0">
            <x v="1"/>
          </reference>
          <reference field="11" count="1" selected="0">
            <x v="0"/>
          </reference>
          <reference field="12" count="1" selected="0">
            <x v="8"/>
          </reference>
          <reference field="13" count="1">
            <x v="8"/>
          </reference>
        </references>
      </pivotArea>
    </format>
    <format dxfId="274">
      <pivotArea dataOnly="0" labelOnly="1" outline="0" fieldPosition="0">
        <references count="8">
          <reference field="0" count="1" selected="0">
            <x v="31"/>
          </reference>
          <reference field="4" count="1" selected="0">
            <x v="2"/>
          </reference>
          <reference field="5" count="1" selected="0">
            <x v="3"/>
          </reference>
          <reference field="8" count="1" selected="0">
            <x v="0"/>
          </reference>
          <reference field="10" count="1" selected="0">
            <x v="0"/>
          </reference>
          <reference field="11" count="1" selected="0">
            <x v="6"/>
          </reference>
          <reference field="12" count="1" selected="0">
            <x v="9"/>
          </reference>
          <reference field="13" count="1">
            <x v="26"/>
          </reference>
        </references>
      </pivotArea>
    </format>
    <format dxfId="273">
      <pivotArea dataOnly="0" labelOnly="1" outline="0" fieldPosition="0">
        <references count="8">
          <reference field="0" count="1" selected="0">
            <x v="32"/>
          </reference>
          <reference field="4" count="1" selected="0">
            <x v="2"/>
          </reference>
          <reference field="5" count="1" selected="0">
            <x v="3"/>
          </reference>
          <reference field="8" count="1" selected="0">
            <x v="0"/>
          </reference>
          <reference field="10" count="1" selected="0">
            <x v="0"/>
          </reference>
          <reference field="11" count="1" selected="0">
            <x v="6"/>
          </reference>
          <reference field="12" count="1" selected="0">
            <x v="10"/>
          </reference>
          <reference field="13" count="1">
            <x v="27"/>
          </reference>
        </references>
      </pivotArea>
    </format>
    <format dxfId="272">
      <pivotArea dataOnly="0" labelOnly="1" outline="0" fieldPosition="0">
        <references count="8">
          <reference field="0" count="1" selected="0">
            <x v="35"/>
          </reference>
          <reference field="4" count="1" selected="0">
            <x v="1"/>
          </reference>
          <reference field="5" count="1" selected="0">
            <x v="4"/>
          </reference>
          <reference field="8" count="1" selected="0">
            <x v="3"/>
          </reference>
          <reference field="10" count="1" selected="0">
            <x v="1"/>
          </reference>
          <reference field="11" count="1" selected="0">
            <x v="4"/>
          </reference>
          <reference field="12" count="1" selected="0">
            <x v="4"/>
          </reference>
          <reference field="13" count="1">
            <x v="31"/>
          </reference>
        </references>
      </pivotArea>
    </format>
    <format dxfId="271">
      <pivotArea dataOnly="0" labelOnly="1" outline="0" fieldPosition="0">
        <references count="8">
          <reference field="0" count="1" selected="0">
            <x v="36"/>
          </reference>
          <reference field="4" count="1" selected="0">
            <x v="1"/>
          </reference>
          <reference field="5" count="1" selected="0">
            <x v="4"/>
          </reference>
          <reference field="8" count="1" selected="0">
            <x v="3"/>
          </reference>
          <reference field="10" count="1" selected="0">
            <x v="1"/>
          </reference>
          <reference field="11" count="1" selected="0">
            <x v="4"/>
          </reference>
          <reference field="12" count="1" selected="0">
            <x v="3"/>
          </reference>
          <reference field="13" count="1">
            <x v="16"/>
          </reference>
        </references>
      </pivotArea>
    </format>
    <format dxfId="270">
      <pivotArea dataOnly="0" labelOnly="1" outline="0" fieldPosition="0">
        <references count="8">
          <reference field="0" count="1" selected="0">
            <x v="37"/>
          </reference>
          <reference field="4" count="1" selected="0">
            <x v="1"/>
          </reference>
          <reference field="5" count="1" selected="0">
            <x v="4"/>
          </reference>
          <reference field="8" count="1" selected="0">
            <x v="5"/>
          </reference>
          <reference field="10" count="1" selected="0">
            <x v="2"/>
          </reference>
          <reference field="11" count="1" selected="0">
            <x v="7"/>
          </reference>
          <reference field="12" count="1" selected="0">
            <x v="34"/>
          </reference>
          <reference field="13" count="1">
            <x v="18"/>
          </reference>
        </references>
      </pivotArea>
    </format>
    <format dxfId="269">
      <pivotArea dataOnly="0" labelOnly="1" outline="0" fieldPosition="0">
        <references count="8">
          <reference field="0" count="1" selected="0">
            <x v="38"/>
          </reference>
          <reference field="4" count="1" selected="0">
            <x v="1"/>
          </reference>
          <reference field="5" count="1" selected="0">
            <x v="4"/>
          </reference>
          <reference field="8" count="1" selected="0">
            <x v="4"/>
          </reference>
          <reference field="10" count="1" selected="0">
            <x v="1"/>
          </reference>
          <reference field="11" count="1" selected="0">
            <x v="0"/>
          </reference>
          <reference field="12" count="1" selected="0">
            <x v="0"/>
          </reference>
          <reference field="13" count="1">
            <x v="10"/>
          </reference>
        </references>
      </pivotArea>
    </format>
    <format dxfId="268">
      <pivotArea dataOnly="0" labelOnly="1" outline="0" fieldPosition="0">
        <references count="8">
          <reference field="0" count="1" selected="0">
            <x v="38"/>
          </reference>
          <reference field="4" count="1" selected="0">
            <x v="1"/>
          </reference>
          <reference field="5" count="1" selected="0">
            <x v="4"/>
          </reference>
          <reference field="8" count="1" selected="0">
            <x v="4"/>
          </reference>
          <reference field="10" count="1" selected="0">
            <x v="1"/>
          </reference>
          <reference field="11" count="1" selected="0">
            <x v="0"/>
          </reference>
          <reference field="12" count="1" selected="0">
            <x v="1"/>
          </reference>
          <reference field="13" count="1">
            <x v="25"/>
          </reference>
        </references>
      </pivotArea>
    </format>
    <format dxfId="267">
      <pivotArea dataOnly="0" labelOnly="1" outline="0" fieldPosition="0">
        <references count="8">
          <reference field="0" count="1" selected="0">
            <x v="38"/>
          </reference>
          <reference field="4" count="1" selected="0">
            <x v="1"/>
          </reference>
          <reference field="5" count="1" selected="0">
            <x v="4"/>
          </reference>
          <reference field="8" count="1" selected="0">
            <x v="4"/>
          </reference>
          <reference field="10" count="1" selected="0">
            <x v="1"/>
          </reference>
          <reference field="11" count="1" selected="0">
            <x v="0"/>
          </reference>
          <reference field="12" count="1" selected="0">
            <x v="2"/>
          </reference>
          <reference field="13" count="1">
            <x v="3"/>
          </reference>
        </references>
      </pivotArea>
    </format>
    <format dxfId="266">
      <pivotArea dataOnly="0" labelOnly="1" outline="0" fieldPosition="0">
        <references count="8">
          <reference field="0" count="1" selected="0">
            <x v="39"/>
          </reference>
          <reference field="4" count="1" selected="0">
            <x v="1"/>
          </reference>
          <reference field="5" count="1" selected="0">
            <x v="5"/>
          </reference>
          <reference field="8" count="1" selected="0">
            <x v="6"/>
          </reference>
          <reference field="10" count="1" selected="0">
            <x v="0"/>
          </reference>
          <reference field="11" count="1" selected="0">
            <x v="1"/>
          </reference>
          <reference field="12" count="1" selected="0">
            <x v="22"/>
          </reference>
          <reference field="13" count="1">
            <x v="1"/>
          </reference>
        </references>
      </pivotArea>
    </format>
    <format dxfId="265">
      <pivotArea dataOnly="0" labelOnly="1" outline="0" fieldPosition="0">
        <references count="8">
          <reference field="0" count="1" selected="0">
            <x v="40"/>
          </reference>
          <reference field="4" count="1" selected="0">
            <x v="1"/>
          </reference>
          <reference field="5" count="1" selected="0">
            <x v="5"/>
          </reference>
          <reference field="8" count="1" selected="0">
            <x v="3"/>
          </reference>
          <reference field="10" count="1" selected="0">
            <x v="0"/>
          </reference>
          <reference field="11" count="1" selected="0">
            <x v="6"/>
          </reference>
          <reference field="12" count="1" selected="0">
            <x v="12"/>
          </reference>
          <reference field="13" count="1">
            <x v="28"/>
          </reference>
        </references>
      </pivotArea>
    </format>
    <format dxfId="264">
      <pivotArea dataOnly="0" labelOnly="1" outline="0" fieldPosition="0">
        <references count="8">
          <reference field="0" count="1" selected="0">
            <x v="43"/>
          </reference>
          <reference field="4" count="1" selected="0">
            <x v="1"/>
          </reference>
          <reference field="5" count="1" selected="0">
            <x v="5"/>
          </reference>
          <reference field="8" count="1" selected="0">
            <x v="3"/>
          </reference>
          <reference field="10" count="1" selected="0">
            <x v="0"/>
          </reference>
          <reference field="11" count="1" selected="0">
            <x v="4"/>
          </reference>
          <reference field="12" count="1" selected="0">
            <x v="21"/>
          </reference>
          <reference field="13" count="1">
            <x v="17"/>
          </reference>
        </references>
      </pivotArea>
    </format>
    <format dxfId="263">
      <pivotArea dataOnly="0" labelOnly="1" outline="0" fieldPosition="0">
        <references count="8">
          <reference field="0" count="1" selected="0">
            <x v="44"/>
          </reference>
          <reference field="4" count="1" selected="0">
            <x v="1"/>
          </reference>
          <reference field="5" count="1" selected="0">
            <x v="5"/>
          </reference>
          <reference field="8" count="1" selected="0">
            <x v="3"/>
          </reference>
          <reference field="10" count="1" selected="0">
            <x v="0"/>
          </reference>
          <reference field="11" count="1" selected="0">
            <x v="1"/>
          </reference>
          <reference field="12" count="1" selected="0">
            <x v="13"/>
          </reference>
          <reference field="13" count="1">
            <x v="4"/>
          </reference>
        </references>
      </pivotArea>
    </format>
    <format dxfId="262">
      <pivotArea dataOnly="0" labelOnly="1" outline="0" fieldPosition="0">
        <references count="8">
          <reference field="0" count="1" selected="0">
            <x v="44"/>
          </reference>
          <reference field="4" count="1" selected="0">
            <x v="1"/>
          </reference>
          <reference field="5" count="1" selected="0">
            <x v="5"/>
          </reference>
          <reference field="8" count="1" selected="0">
            <x v="3"/>
          </reference>
          <reference field="10" count="1" selected="0">
            <x v="0"/>
          </reference>
          <reference field="11" count="1" selected="0">
            <x v="1"/>
          </reference>
          <reference field="12" count="1" selected="0">
            <x v="16"/>
          </reference>
          <reference field="13" count="1">
            <x v="5"/>
          </reference>
        </references>
      </pivotArea>
    </format>
    <format dxfId="261">
      <pivotArea dataOnly="0" labelOnly="1" outline="0" fieldPosition="0">
        <references count="8">
          <reference field="0" count="1" selected="0">
            <x v="49"/>
          </reference>
          <reference field="4" count="1" selected="0">
            <x v="1"/>
          </reference>
          <reference field="5" count="1" selected="0">
            <x v="5"/>
          </reference>
          <reference field="8" count="1" selected="0">
            <x v="7"/>
          </reference>
          <reference field="10" count="1" selected="0">
            <x v="0"/>
          </reference>
          <reference field="11" count="1" selected="0">
            <x v="0"/>
          </reference>
          <reference field="12" count="1" selected="0">
            <x v="15"/>
          </reference>
          <reference field="13" count="1">
            <x v="34"/>
          </reference>
        </references>
      </pivotArea>
    </format>
    <format dxfId="260">
      <pivotArea dataOnly="0" labelOnly="1" outline="0" fieldPosition="0">
        <references count="8">
          <reference field="0" count="1" selected="0">
            <x v="50"/>
          </reference>
          <reference field="4" count="1" selected="0">
            <x v="1"/>
          </reference>
          <reference field="5" count="1" selected="0">
            <x v="5"/>
          </reference>
          <reference field="8" count="1" selected="0">
            <x v="6"/>
          </reference>
          <reference field="10" count="1" selected="0">
            <x v="0"/>
          </reference>
          <reference field="11" count="1" selected="0">
            <x v="4"/>
          </reference>
          <reference field="12" count="1" selected="0">
            <x v="20"/>
          </reference>
          <reference field="13" count="1">
            <x v="35"/>
          </reference>
        </references>
      </pivotArea>
    </format>
    <format dxfId="259">
      <pivotArea dataOnly="0" labelOnly="1" outline="0" fieldPosition="0">
        <references count="8">
          <reference field="0" count="1" selected="0">
            <x v="52"/>
          </reference>
          <reference field="4" count="1" selected="0">
            <x v="1"/>
          </reference>
          <reference field="5" count="1" selected="0">
            <x v="6"/>
          </reference>
          <reference field="8" count="1" selected="0">
            <x v="3"/>
          </reference>
          <reference field="10" count="1" selected="0">
            <x v="0"/>
          </reference>
          <reference field="11" count="1" selected="0">
            <x v="4"/>
          </reference>
          <reference field="12" count="1" selected="0">
            <x v="21"/>
          </reference>
          <reference field="13" count="1">
            <x v="17"/>
          </reference>
        </references>
      </pivotArea>
    </format>
    <format dxfId="258">
      <pivotArea dataOnly="0" labelOnly="1" outline="0" fieldPosition="0">
        <references count="8">
          <reference field="0" count="1" selected="0">
            <x v="53"/>
          </reference>
          <reference field="4" count="1" selected="0">
            <x v="1"/>
          </reference>
          <reference field="5" count="1" selected="0">
            <x v="6"/>
          </reference>
          <reference field="8" count="1" selected="0">
            <x v="6"/>
          </reference>
          <reference field="10" count="1" selected="0">
            <x v="0"/>
          </reference>
          <reference field="11" count="1" selected="0">
            <x v="0"/>
          </reference>
          <reference field="12" count="1" selected="0">
            <x v="15"/>
          </reference>
          <reference field="13" count="1">
            <x v="34"/>
          </reference>
        </references>
      </pivotArea>
    </format>
    <format dxfId="257">
      <pivotArea dataOnly="0" labelOnly="1" outline="0" fieldPosition="0">
        <references count="8">
          <reference field="0" count="1" selected="0">
            <x v="58"/>
          </reference>
          <reference field="4" count="1" selected="0">
            <x v="1"/>
          </reference>
          <reference field="5" count="1" selected="0">
            <x v="6"/>
          </reference>
          <reference field="8" count="1" selected="0">
            <x v="3"/>
          </reference>
          <reference field="10" count="1" selected="0">
            <x v="0"/>
          </reference>
          <reference field="11" count="1" selected="0">
            <x v="4"/>
          </reference>
          <reference field="12" count="1" selected="0">
            <x v="24"/>
          </reference>
          <reference field="13" count="1">
            <x v="9"/>
          </reference>
        </references>
      </pivotArea>
    </format>
    <format dxfId="256">
      <pivotArea dataOnly="0" labelOnly="1" outline="0" fieldPosition="0">
        <references count="8">
          <reference field="0" count="1" selected="0">
            <x v="59"/>
          </reference>
          <reference field="4" count="1" selected="0">
            <x v="1"/>
          </reference>
          <reference field="5" count="1" selected="0">
            <x v="6"/>
          </reference>
          <reference field="8" count="1" selected="0">
            <x v="3"/>
          </reference>
          <reference field="10" count="1" selected="0">
            <x v="0"/>
          </reference>
          <reference field="11" count="1" selected="0">
            <x v="4"/>
          </reference>
          <reference field="12" count="1" selected="0">
            <x v="24"/>
          </reference>
          <reference field="13" count="1">
            <x v="9"/>
          </reference>
        </references>
      </pivotArea>
    </format>
    <format dxfId="255">
      <pivotArea dataOnly="0" labelOnly="1" outline="0" fieldPosition="0">
        <references count="8">
          <reference field="0" count="1" selected="0">
            <x v="64"/>
          </reference>
          <reference field="4" count="1" selected="0">
            <x v="1"/>
          </reference>
          <reference field="5" count="1" selected="0">
            <x v="6"/>
          </reference>
          <reference field="8" count="1" selected="0">
            <x v="6"/>
          </reference>
          <reference field="10" count="1" selected="0">
            <x v="0"/>
          </reference>
          <reference field="11" count="1" selected="0">
            <x v="5"/>
          </reference>
          <reference field="12" count="1" selected="0">
            <x v="35"/>
          </reference>
          <reference field="13" count="1">
            <x v="36"/>
          </reference>
        </references>
      </pivotArea>
    </format>
    <format dxfId="254">
      <pivotArea dataOnly="0" labelOnly="1" outline="0" fieldPosition="0">
        <references count="8">
          <reference field="0" count="1" selected="0">
            <x v="65"/>
          </reference>
          <reference field="4" count="1" selected="0">
            <x v="1"/>
          </reference>
          <reference field="5" count="1" selected="0">
            <x v="6"/>
          </reference>
          <reference field="8" count="1" selected="0">
            <x v="7"/>
          </reference>
          <reference field="10" count="1" selected="0">
            <x v="0"/>
          </reference>
          <reference field="11" count="1" selected="0">
            <x v="0"/>
          </reference>
          <reference field="12" count="1" selected="0">
            <x v="0"/>
          </reference>
          <reference field="13" count="1">
            <x v="10"/>
          </reference>
        </references>
      </pivotArea>
    </format>
    <format dxfId="253">
      <pivotArea dataOnly="0" labelOnly="1" outline="0" fieldPosition="0">
        <references count="8">
          <reference field="0" count="1" selected="0">
            <x v="65"/>
          </reference>
          <reference field="4" count="1" selected="0">
            <x v="1"/>
          </reference>
          <reference field="5" count="1" selected="0">
            <x v="6"/>
          </reference>
          <reference field="8" count="1" selected="0">
            <x v="7"/>
          </reference>
          <reference field="10" count="1" selected="0">
            <x v="0"/>
          </reference>
          <reference field="11" count="1" selected="0">
            <x v="0"/>
          </reference>
          <reference field="12" count="1" selected="0">
            <x v="1"/>
          </reference>
          <reference field="13" count="1">
            <x v="25"/>
          </reference>
        </references>
      </pivotArea>
    </format>
    <format dxfId="252">
      <pivotArea dataOnly="0" labelOnly="1" outline="0" fieldPosition="0">
        <references count="8">
          <reference field="0" count="1" selected="0">
            <x v="67"/>
          </reference>
          <reference field="4" count="1" selected="0">
            <x v="0"/>
          </reference>
          <reference field="5" count="1" selected="0">
            <x v="7"/>
          </reference>
          <reference field="8" count="1" selected="0">
            <x v="2"/>
          </reference>
          <reference field="10" count="1" selected="0">
            <x v="0"/>
          </reference>
          <reference field="11" count="1" selected="0">
            <x v="0"/>
          </reference>
          <reference field="12" count="1" selected="0">
            <x v="25"/>
          </reference>
          <reference field="13" count="1">
            <x v="12"/>
          </reference>
        </references>
      </pivotArea>
    </format>
    <format dxfId="251">
      <pivotArea dataOnly="0" labelOnly="1" outline="0" fieldPosition="0">
        <references count="8">
          <reference field="0" count="1" selected="0">
            <x v="68"/>
          </reference>
          <reference field="4" count="1" selected="0">
            <x v="0"/>
          </reference>
          <reference field="5" count="1" selected="0">
            <x v="7"/>
          </reference>
          <reference field="8" count="1" selected="0">
            <x v="2"/>
          </reference>
          <reference field="10" count="1" selected="0">
            <x v="0"/>
          </reference>
          <reference field="11" count="1" selected="0">
            <x v="1"/>
          </reference>
          <reference field="12" count="1" selected="0">
            <x v="26"/>
          </reference>
          <reference field="13" count="1">
            <x v="13"/>
          </reference>
        </references>
      </pivotArea>
    </format>
    <format dxfId="250">
      <pivotArea dataOnly="0" labelOnly="1" outline="0" fieldPosition="0">
        <references count="8">
          <reference field="0" count="1" selected="0">
            <x v="69"/>
          </reference>
          <reference field="4" count="1" selected="0">
            <x v="0"/>
          </reference>
          <reference field="5" count="1" selected="0">
            <x v="7"/>
          </reference>
          <reference field="8" count="1" selected="0">
            <x v="2"/>
          </reference>
          <reference field="10" count="1" selected="0">
            <x v="0"/>
          </reference>
          <reference field="11" count="1" selected="0">
            <x v="0"/>
          </reference>
          <reference field="12" count="1" selected="0">
            <x v="25"/>
          </reference>
          <reference field="13" count="1">
            <x v="12"/>
          </reference>
        </references>
      </pivotArea>
    </format>
    <format dxfId="249">
      <pivotArea dataOnly="0" labelOnly="1" outline="0" fieldPosition="0">
        <references count="8">
          <reference field="0" count="1" selected="0">
            <x v="70"/>
          </reference>
          <reference field="4" count="1" selected="0">
            <x v="0"/>
          </reference>
          <reference field="5" count="1" selected="0">
            <x v="8"/>
          </reference>
          <reference field="8" count="1" selected="0">
            <x v="2"/>
          </reference>
          <reference field="10" count="1" selected="0">
            <x v="0"/>
          </reference>
          <reference field="11" count="1" selected="0">
            <x v="0"/>
          </reference>
          <reference field="12" count="1" selected="0">
            <x v="8"/>
          </reference>
          <reference field="13" count="1">
            <x v="8"/>
          </reference>
        </references>
      </pivotArea>
    </format>
    <format dxfId="248">
      <pivotArea dataOnly="0" labelOnly="1" outline="0" fieldPosition="0">
        <references count="8">
          <reference field="0" count="1" selected="0">
            <x v="71"/>
          </reference>
          <reference field="4" count="1" selected="0">
            <x v="0"/>
          </reference>
          <reference field="5" count="1" selected="0">
            <x v="8"/>
          </reference>
          <reference field="8" count="1" selected="0">
            <x v="2"/>
          </reference>
          <reference field="10" count="1" selected="0">
            <x v="0"/>
          </reference>
          <reference field="11" count="1" selected="0">
            <x v="5"/>
          </reference>
          <reference field="12" count="1" selected="0">
            <x v="20"/>
          </reference>
          <reference field="13" count="1">
            <x v="35"/>
          </reference>
        </references>
      </pivotArea>
    </format>
    <format dxfId="247">
      <pivotArea dataOnly="0" labelOnly="1" outline="0" fieldPosition="0">
        <references count="8">
          <reference field="0" count="1" selected="0">
            <x v="72"/>
          </reference>
          <reference field="4" count="1" selected="0">
            <x v="0"/>
          </reference>
          <reference field="5" count="1" selected="0">
            <x v="8"/>
          </reference>
          <reference field="8" count="1" selected="0">
            <x v="2"/>
          </reference>
          <reference field="10" count="1" selected="0">
            <x v="0"/>
          </reference>
          <reference field="11" count="1" selected="0">
            <x v="0"/>
          </reference>
          <reference field="12" count="1" selected="0">
            <x v="27"/>
          </reference>
          <reference field="13" count="1">
            <x v="6"/>
          </reference>
        </references>
      </pivotArea>
    </format>
    <format dxfId="246">
      <pivotArea dataOnly="0" labelOnly="1" outline="0" fieldPosition="0">
        <references count="8">
          <reference field="0" count="1" selected="0">
            <x v="0"/>
          </reference>
          <reference field="4" count="1" selected="0">
            <x v="0"/>
          </reference>
          <reference field="5" count="1" selected="0">
            <x v="9"/>
          </reference>
          <reference field="8" count="1" selected="0">
            <x v="2"/>
          </reference>
          <reference field="10" count="1" selected="0">
            <x v="0"/>
          </reference>
          <reference field="11" count="1" selected="0">
            <x v="0"/>
          </reference>
          <reference field="12" count="1" selected="0">
            <x v="28"/>
          </reference>
          <reference field="13" count="1">
            <x v="32"/>
          </reference>
        </references>
      </pivotArea>
    </format>
    <format dxfId="245">
      <pivotArea dataOnly="0" labelOnly="1" outline="0" fieldPosition="0">
        <references count="8">
          <reference field="0" count="1" selected="0">
            <x v="1"/>
          </reference>
          <reference field="4" count="1" selected="0">
            <x v="0"/>
          </reference>
          <reference field="5" count="1" selected="0">
            <x v="9"/>
          </reference>
          <reference field="8" count="1" selected="0">
            <x v="2"/>
          </reference>
          <reference field="10" count="1" selected="0">
            <x v="0"/>
          </reference>
          <reference field="11" count="1" selected="0">
            <x v="5"/>
          </reference>
          <reference field="12" count="1" selected="0">
            <x v="31"/>
          </reference>
          <reference field="13" count="1">
            <x v="14"/>
          </reference>
        </references>
      </pivotArea>
    </format>
    <format dxfId="244">
      <pivotArea dataOnly="0" labelOnly="1" outline="0" fieldPosition="0">
        <references count="8">
          <reference field="0" count="1" selected="0">
            <x v="2"/>
          </reference>
          <reference field="4" count="1" selected="0">
            <x v="0"/>
          </reference>
          <reference field="5" count="1" selected="0">
            <x v="9"/>
          </reference>
          <reference field="8" count="1" selected="0">
            <x v="2"/>
          </reference>
          <reference field="10" count="1" selected="0">
            <x v="0"/>
          </reference>
          <reference field="11" count="1" selected="0">
            <x v="0"/>
          </reference>
          <reference field="12" count="1" selected="0">
            <x v="28"/>
          </reference>
          <reference field="13" count="1">
            <x v="32"/>
          </reference>
        </references>
      </pivotArea>
    </format>
    <format dxfId="243">
      <pivotArea dataOnly="0" labelOnly="1" outline="0" fieldPosition="0">
        <references count="8">
          <reference field="0" count="1" selected="0">
            <x v="3"/>
          </reference>
          <reference field="4" count="1" selected="0">
            <x v="0"/>
          </reference>
          <reference field="5" count="1" selected="0">
            <x v="10"/>
          </reference>
          <reference field="8" count="1" selected="0">
            <x v="2"/>
          </reference>
          <reference field="10" count="1" selected="0">
            <x v="0"/>
          </reference>
          <reference field="11" count="1" selected="0">
            <x v="3"/>
          </reference>
          <reference field="12" count="1" selected="0">
            <x v="29"/>
          </reference>
          <reference field="13" count="1">
            <x v="30"/>
          </reference>
        </references>
      </pivotArea>
    </format>
    <format dxfId="242">
      <pivotArea dataOnly="0" labelOnly="1" outline="0" fieldPosition="0">
        <references count="8">
          <reference field="0" count="1" selected="0">
            <x v="4"/>
          </reference>
          <reference field="4" count="1" selected="0">
            <x v="0"/>
          </reference>
          <reference field="5" count="1" selected="0">
            <x v="10"/>
          </reference>
          <reference field="8" count="1" selected="0">
            <x v="2"/>
          </reference>
          <reference field="10" count="1" selected="0">
            <x v="0"/>
          </reference>
          <reference field="11" count="1" selected="0">
            <x v="5"/>
          </reference>
          <reference field="12" count="1" selected="0">
            <x v="32"/>
          </reference>
          <reference field="13" count="1">
            <x v="23"/>
          </reference>
        </references>
      </pivotArea>
    </format>
    <format dxfId="241">
      <pivotArea dataOnly="0" labelOnly="1" outline="0" fieldPosition="0">
        <references count="8">
          <reference field="0" count="1" selected="0">
            <x v="5"/>
          </reference>
          <reference field="4" count="1" selected="0">
            <x v="0"/>
          </reference>
          <reference field="5" count="1" selected="0">
            <x v="10"/>
          </reference>
          <reference field="8" count="1" selected="0">
            <x v="2"/>
          </reference>
          <reference field="10" count="1" selected="0">
            <x v="0"/>
          </reference>
          <reference field="11" count="1" selected="0">
            <x v="3"/>
          </reference>
          <reference field="12" count="1" selected="0">
            <x v="29"/>
          </reference>
          <reference field="13" count="1">
            <x v="30"/>
          </reference>
        </references>
      </pivotArea>
    </format>
    <format dxfId="240">
      <pivotArea dataOnly="0" labelOnly="1" outline="0" fieldPosition="0">
        <references count="8">
          <reference field="0" count="1" selected="0">
            <x v="6"/>
          </reference>
          <reference field="4" count="1" selected="0">
            <x v="0"/>
          </reference>
          <reference field="5" count="1" selected="0">
            <x v="11"/>
          </reference>
          <reference field="8" count="1" selected="0">
            <x v="2"/>
          </reference>
          <reference field="10" count="1" selected="0">
            <x v="0"/>
          </reference>
          <reference field="11" count="1" selected="0">
            <x v="3"/>
          </reference>
          <reference field="12" count="1" selected="0">
            <x v="30"/>
          </reference>
          <reference field="13" count="1">
            <x v="29"/>
          </reference>
        </references>
      </pivotArea>
    </format>
    <format dxfId="239">
      <pivotArea dataOnly="0" labelOnly="1" outline="0" fieldPosition="0">
        <references count="8">
          <reference field="0" count="1" selected="0">
            <x v="7"/>
          </reference>
          <reference field="4" count="1" selected="0">
            <x v="0"/>
          </reference>
          <reference field="5" count="1" selected="0">
            <x v="11"/>
          </reference>
          <reference field="8" count="1" selected="0">
            <x v="2"/>
          </reference>
          <reference field="10" count="1" selected="0">
            <x v="0"/>
          </reference>
          <reference field="11" count="1" selected="0">
            <x v="5"/>
          </reference>
          <reference field="12" count="1" selected="0">
            <x v="32"/>
          </reference>
          <reference field="13" count="1">
            <x v="23"/>
          </reference>
        </references>
      </pivotArea>
    </format>
    <format dxfId="238">
      <pivotArea dataOnly="0" labelOnly="1" outline="0" fieldPosition="0">
        <references count="8">
          <reference field="0" count="1" selected="0">
            <x v="8"/>
          </reference>
          <reference field="4" count="1" selected="0">
            <x v="0"/>
          </reference>
          <reference field="5" count="1" selected="0">
            <x v="11"/>
          </reference>
          <reference field="8" count="1" selected="0">
            <x v="2"/>
          </reference>
          <reference field="10" count="1" selected="0">
            <x v="0"/>
          </reference>
          <reference field="11" count="1" selected="0">
            <x v="3"/>
          </reference>
          <reference field="12" count="1" selected="0">
            <x v="30"/>
          </reference>
          <reference field="13" count="1">
            <x v="29"/>
          </reference>
        </references>
      </pivotArea>
    </format>
    <format dxfId="237">
      <pivotArea type="all" dataOnly="0" outline="0" fieldPosition="0"/>
    </format>
    <format dxfId="236">
      <pivotArea field="5" type="button" dataOnly="0" labelOnly="1" outline="0" axis="axisRow" fieldPosition="0"/>
    </format>
    <format dxfId="235">
      <pivotArea field="4" type="button" dataOnly="0" labelOnly="1" outline="0" axis="axisRow" fieldPosition="1"/>
    </format>
    <format dxfId="234">
      <pivotArea field="0" type="button" dataOnly="0" labelOnly="1" outline="0" axis="axisRow" fieldPosition="2"/>
    </format>
    <format dxfId="233">
      <pivotArea field="8" type="button" dataOnly="0" labelOnly="1" outline="0" axis="axisRow" fieldPosition="3"/>
    </format>
    <format dxfId="232">
      <pivotArea field="10" type="button" dataOnly="0" labelOnly="1" outline="0" axis="axisRow" fieldPosition="4"/>
    </format>
    <format dxfId="231">
      <pivotArea field="12" type="button" dataOnly="0" labelOnly="1" outline="0" axis="axisRow" fieldPosition="5"/>
    </format>
    <format dxfId="230">
      <pivotArea field="11" type="button" dataOnly="0" labelOnly="1" outline="0" axis="axisRow" fieldPosition="6"/>
    </format>
    <format dxfId="229">
      <pivotArea field="13" type="button" dataOnly="0" labelOnly="1" outline="0" axis="axisRow" fieldPosition="7"/>
    </format>
    <format dxfId="228">
      <pivotArea field="28" type="button" dataOnly="0" labelOnly="1" outline="0"/>
    </format>
    <format dxfId="227">
      <pivotArea dataOnly="0" labelOnly="1" outline="0" fieldPosition="0">
        <references count="1">
          <reference field="5" count="0"/>
        </references>
      </pivotArea>
    </format>
    <format dxfId="226">
      <pivotArea dataOnly="0" labelOnly="1" outline="0" fieldPosition="0">
        <references count="1">
          <reference field="5" count="0" defaultSubtotal="1"/>
        </references>
      </pivotArea>
    </format>
    <format dxfId="225">
      <pivotArea dataOnly="0" labelOnly="1" grandRow="1" outline="0" fieldPosition="0"/>
    </format>
    <format dxfId="224">
      <pivotArea dataOnly="0" labelOnly="1" outline="0" fieldPosition="0">
        <references count="2">
          <reference field="4" count="1">
            <x v="2"/>
          </reference>
          <reference field="5" count="1" selected="0">
            <x v="0"/>
          </reference>
        </references>
      </pivotArea>
    </format>
    <format dxfId="223">
      <pivotArea dataOnly="0" labelOnly="1" outline="0" fieldPosition="0">
        <references count="2">
          <reference field="4" count="1">
            <x v="2"/>
          </reference>
          <reference field="5" count="1" selected="0">
            <x v="1"/>
          </reference>
        </references>
      </pivotArea>
    </format>
    <format dxfId="222">
      <pivotArea dataOnly="0" labelOnly="1" outline="0" fieldPosition="0">
        <references count="2">
          <reference field="4" count="1">
            <x v="2"/>
          </reference>
          <reference field="5" count="1" selected="0">
            <x v="2"/>
          </reference>
        </references>
      </pivotArea>
    </format>
    <format dxfId="221">
      <pivotArea dataOnly="0" labelOnly="1" outline="0" fieldPosition="0">
        <references count="2">
          <reference field="4" count="1">
            <x v="2"/>
          </reference>
          <reference field="5" count="1" selected="0">
            <x v="3"/>
          </reference>
        </references>
      </pivotArea>
    </format>
    <format dxfId="220">
      <pivotArea dataOnly="0" labelOnly="1" outline="0" fieldPosition="0">
        <references count="2">
          <reference field="4" count="1">
            <x v="1"/>
          </reference>
          <reference field="5" count="1" selected="0">
            <x v="4"/>
          </reference>
        </references>
      </pivotArea>
    </format>
    <format dxfId="219">
      <pivotArea dataOnly="0" labelOnly="1" outline="0" fieldPosition="0">
        <references count="2">
          <reference field="4" count="1">
            <x v="1"/>
          </reference>
          <reference field="5" count="1" selected="0">
            <x v="5"/>
          </reference>
        </references>
      </pivotArea>
    </format>
    <format dxfId="218">
      <pivotArea dataOnly="0" labelOnly="1" outline="0" fieldPosition="0">
        <references count="2">
          <reference field="4" count="1">
            <x v="1"/>
          </reference>
          <reference field="5" count="1" selected="0">
            <x v="6"/>
          </reference>
        </references>
      </pivotArea>
    </format>
    <format dxfId="217">
      <pivotArea dataOnly="0" labelOnly="1" outline="0" fieldPosition="0">
        <references count="2">
          <reference field="4" count="1">
            <x v="0"/>
          </reference>
          <reference field="5" count="1" selected="0">
            <x v="7"/>
          </reference>
        </references>
      </pivotArea>
    </format>
    <format dxfId="216">
      <pivotArea dataOnly="0" labelOnly="1" outline="0" fieldPosition="0">
        <references count="2">
          <reference field="4" count="1">
            <x v="0"/>
          </reference>
          <reference field="5" count="1" selected="0">
            <x v="8"/>
          </reference>
        </references>
      </pivotArea>
    </format>
    <format dxfId="215">
      <pivotArea dataOnly="0" labelOnly="1" outline="0" fieldPosition="0">
        <references count="2">
          <reference field="4" count="1">
            <x v="0"/>
          </reference>
          <reference field="5" count="1" selected="0">
            <x v="9"/>
          </reference>
        </references>
      </pivotArea>
    </format>
    <format dxfId="214">
      <pivotArea dataOnly="0" labelOnly="1" outline="0" fieldPosition="0">
        <references count="2">
          <reference field="4" count="1">
            <x v="0"/>
          </reference>
          <reference field="5" count="1" selected="0">
            <x v="10"/>
          </reference>
        </references>
      </pivotArea>
    </format>
    <format dxfId="213">
      <pivotArea dataOnly="0" labelOnly="1" outline="0" fieldPosition="0">
        <references count="2">
          <reference field="4" count="1">
            <x v="0"/>
          </reference>
          <reference field="5" count="1" selected="0">
            <x v="11"/>
          </reference>
        </references>
      </pivotArea>
    </format>
    <format dxfId="212">
      <pivotArea dataOnly="0" labelOnly="1" outline="0" fieldPosition="0">
        <references count="3">
          <reference field="0" count="6">
            <x v="9"/>
            <x v="10"/>
            <x v="11"/>
            <x v="12"/>
            <x v="13"/>
            <x v="14"/>
          </reference>
          <reference field="4" count="1" selected="0">
            <x v="2"/>
          </reference>
          <reference field="5" count="1" selected="0">
            <x v="0"/>
          </reference>
        </references>
      </pivotArea>
    </format>
    <format dxfId="211">
      <pivotArea dataOnly="0" labelOnly="1" outline="0" fieldPosition="0">
        <references count="3">
          <reference field="0" count="6">
            <x v="15"/>
            <x v="16"/>
            <x v="17"/>
            <x v="18"/>
            <x v="19"/>
            <x v="20"/>
          </reference>
          <reference field="4" count="1" selected="0">
            <x v="2"/>
          </reference>
          <reference field="5" count="1" selected="0">
            <x v="1"/>
          </reference>
        </references>
      </pivotArea>
    </format>
    <format dxfId="210">
      <pivotArea dataOnly="0" labelOnly="1" outline="0" fieldPosition="0">
        <references count="3">
          <reference field="0" count="6">
            <x v="21"/>
            <x v="22"/>
            <x v="23"/>
            <x v="24"/>
            <x v="25"/>
            <x v="26"/>
          </reference>
          <reference field="4" count="1" selected="0">
            <x v="2"/>
          </reference>
          <reference field="5" count="1" selected="0">
            <x v="2"/>
          </reference>
        </references>
      </pivotArea>
    </format>
    <format dxfId="209">
      <pivotArea dataOnly="0" labelOnly="1" outline="0" fieldPosition="0">
        <references count="3">
          <reference field="0" count="6">
            <x v="27"/>
            <x v="28"/>
            <x v="29"/>
            <x v="30"/>
            <x v="31"/>
            <x v="32"/>
          </reference>
          <reference field="4" count="1" selected="0">
            <x v="2"/>
          </reference>
          <reference field="5" count="1" selected="0">
            <x v="3"/>
          </reference>
        </references>
      </pivotArea>
    </format>
    <format dxfId="208">
      <pivotArea dataOnly="0" labelOnly="1" outline="0" fieldPosition="0">
        <references count="3">
          <reference field="0" count="6">
            <x v="33"/>
            <x v="34"/>
            <x v="35"/>
            <x v="36"/>
            <x v="37"/>
            <x v="38"/>
          </reference>
          <reference field="4" count="1" selected="0">
            <x v="1"/>
          </reference>
          <reference field="5" count="1" selected="0">
            <x v="4"/>
          </reference>
        </references>
      </pivotArea>
    </format>
    <format dxfId="207">
      <pivotArea dataOnly="0" labelOnly="1" outline="0" fieldPosition="0">
        <references count="3">
          <reference field="0" count="11">
            <x v="39"/>
            <x v="40"/>
            <x v="41"/>
            <x v="43"/>
            <x v="44"/>
            <x v="45"/>
            <x v="46"/>
            <x v="47"/>
            <x v="48"/>
            <x v="49"/>
            <x v="50"/>
          </reference>
          <reference field="4" count="1" selected="0">
            <x v="1"/>
          </reference>
          <reference field="5" count="1" selected="0">
            <x v="5"/>
          </reference>
        </references>
      </pivotArea>
    </format>
    <format dxfId="206">
      <pivotArea dataOnly="0" labelOnly="1" outline="0" fieldPosition="0">
        <references count="3">
          <reference field="0" count="11">
            <x v="52"/>
            <x v="53"/>
            <x v="54"/>
            <x v="58"/>
            <x v="59"/>
            <x v="60"/>
            <x v="61"/>
            <x v="62"/>
            <x v="63"/>
            <x v="64"/>
            <x v="65"/>
          </reference>
          <reference field="4" count="1" selected="0">
            <x v="1"/>
          </reference>
          <reference field="5" count="1" selected="0">
            <x v="6"/>
          </reference>
        </references>
      </pivotArea>
    </format>
    <format dxfId="205">
      <pivotArea dataOnly="0" labelOnly="1" outline="0" fieldPosition="0">
        <references count="3">
          <reference field="0" count="3">
            <x v="67"/>
            <x v="68"/>
            <x v="69"/>
          </reference>
          <reference field="4" count="1" selected="0">
            <x v="0"/>
          </reference>
          <reference field="5" count="1" selected="0">
            <x v="7"/>
          </reference>
        </references>
      </pivotArea>
    </format>
    <format dxfId="204">
      <pivotArea dataOnly="0" labelOnly="1" outline="0" fieldPosition="0">
        <references count="3">
          <reference field="0" count="3">
            <x v="70"/>
            <x v="71"/>
            <x v="72"/>
          </reference>
          <reference field="4" count="1" selected="0">
            <x v="0"/>
          </reference>
          <reference field="5" count="1" selected="0">
            <x v="8"/>
          </reference>
        </references>
      </pivotArea>
    </format>
    <format dxfId="203">
      <pivotArea dataOnly="0" labelOnly="1" outline="0" fieldPosition="0">
        <references count="3">
          <reference field="0" count="3">
            <x v="0"/>
            <x v="1"/>
            <x v="2"/>
          </reference>
          <reference field="4" count="1" selected="0">
            <x v="0"/>
          </reference>
          <reference field="5" count="1" selected="0">
            <x v="9"/>
          </reference>
        </references>
      </pivotArea>
    </format>
    <format dxfId="202">
      <pivotArea dataOnly="0" labelOnly="1" outline="0" fieldPosition="0">
        <references count="3">
          <reference field="0" count="3">
            <x v="3"/>
            <x v="4"/>
            <x v="5"/>
          </reference>
          <reference field="4" count="1" selected="0">
            <x v="0"/>
          </reference>
          <reference field="5" count="1" selected="0">
            <x v="10"/>
          </reference>
        </references>
      </pivotArea>
    </format>
    <format dxfId="201">
      <pivotArea dataOnly="0" labelOnly="1" outline="0" fieldPosition="0">
        <references count="3">
          <reference field="0" count="3">
            <x v="6"/>
            <x v="7"/>
            <x v="8"/>
          </reference>
          <reference field="4" count="1" selected="0">
            <x v="0"/>
          </reference>
          <reference field="5" count="1" selected="0">
            <x v="11"/>
          </reference>
        </references>
      </pivotArea>
    </format>
    <format dxfId="200">
      <pivotArea dataOnly="0" labelOnly="1" outline="0" fieldPosition="0">
        <references count="4">
          <reference field="0" count="1" selected="0">
            <x v="9"/>
          </reference>
          <reference field="4" count="1" selected="0">
            <x v="2"/>
          </reference>
          <reference field="5" count="1" selected="0">
            <x v="0"/>
          </reference>
          <reference field="8" count="1">
            <x v="6"/>
          </reference>
        </references>
      </pivotArea>
    </format>
    <format dxfId="199">
      <pivotArea dataOnly="0" labelOnly="1" outline="0" fieldPosition="0">
        <references count="4">
          <reference field="0" count="1" selected="0">
            <x v="11"/>
          </reference>
          <reference field="4" count="1" selected="0">
            <x v="2"/>
          </reference>
          <reference field="5" count="1" selected="0">
            <x v="0"/>
          </reference>
          <reference field="8" count="1">
            <x v="7"/>
          </reference>
        </references>
      </pivotArea>
    </format>
    <format dxfId="198">
      <pivotArea dataOnly="0" labelOnly="1" outline="0" fieldPosition="0">
        <references count="4">
          <reference field="0" count="1" selected="0">
            <x v="13"/>
          </reference>
          <reference field="4" count="1" selected="0">
            <x v="2"/>
          </reference>
          <reference field="5" count="1" selected="0">
            <x v="0"/>
          </reference>
          <reference field="8" count="1">
            <x v="6"/>
          </reference>
        </references>
      </pivotArea>
    </format>
    <format dxfId="197">
      <pivotArea dataOnly="0" labelOnly="1" outline="0" fieldPosition="0">
        <references count="4">
          <reference field="0" count="1" selected="0">
            <x v="15"/>
          </reference>
          <reference field="4" count="1" selected="0">
            <x v="2"/>
          </reference>
          <reference field="5" count="1" selected="0">
            <x v="1"/>
          </reference>
          <reference field="8" count="1">
            <x v="12"/>
          </reference>
        </references>
      </pivotArea>
    </format>
    <format dxfId="196">
      <pivotArea dataOnly="0" labelOnly="1" outline="0" fieldPosition="0">
        <references count="4">
          <reference field="0" count="1" selected="0">
            <x v="16"/>
          </reference>
          <reference field="4" count="1" selected="0">
            <x v="2"/>
          </reference>
          <reference field="5" count="1" selected="0">
            <x v="1"/>
          </reference>
          <reference field="8" count="1">
            <x v="1"/>
          </reference>
        </references>
      </pivotArea>
    </format>
    <format dxfId="195">
      <pivotArea dataOnly="0" labelOnly="1" outline="0" fieldPosition="0">
        <references count="4">
          <reference field="0" count="1" selected="0">
            <x v="18"/>
          </reference>
          <reference field="4" count="1" selected="0">
            <x v="2"/>
          </reference>
          <reference field="5" count="1" selected="0">
            <x v="1"/>
          </reference>
          <reference field="8" count="1">
            <x v="7"/>
          </reference>
        </references>
      </pivotArea>
    </format>
    <format dxfId="194">
      <pivotArea dataOnly="0" labelOnly="1" outline="0" fieldPosition="0">
        <references count="4">
          <reference field="0" count="1" selected="0">
            <x v="19"/>
          </reference>
          <reference field="4" count="1" selected="0">
            <x v="2"/>
          </reference>
          <reference field="5" count="1" selected="0">
            <x v="1"/>
          </reference>
          <reference field="8" count="1">
            <x v="1"/>
          </reference>
        </references>
      </pivotArea>
    </format>
    <format dxfId="193">
      <pivotArea dataOnly="0" labelOnly="1" outline="0" fieldPosition="0">
        <references count="4">
          <reference field="0" count="1" selected="0">
            <x v="21"/>
          </reference>
          <reference field="4" count="1" selected="0">
            <x v="2"/>
          </reference>
          <reference field="5" count="1" selected="0">
            <x v="2"/>
          </reference>
          <reference field="8" count="1">
            <x v="6"/>
          </reference>
        </references>
      </pivotArea>
    </format>
    <format dxfId="192">
      <pivotArea dataOnly="0" labelOnly="1" outline="0" fieldPosition="0">
        <references count="4">
          <reference field="0" count="1" selected="0">
            <x v="23"/>
          </reference>
          <reference field="4" count="1" selected="0">
            <x v="2"/>
          </reference>
          <reference field="5" count="1" selected="0">
            <x v="2"/>
          </reference>
          <reference field="8" count="1">
            <x v="7"/>
          </reference>
        </references>
      </pivotArea>
    </format>
    <format dxfId="191">
      <pivotArea dataOnly="0" labelOnly="1" outline="0" fieldPosition="0">
        <references count="4">
          <reference field="0" count="1" selected="0">
            <x v="25"/>
          </reference>
          <reference field="4" count="1" selected="0">
            <x v="2"/>
          </reference>
          <reference field="5" count="1" selected="0">
            <x v="2"/>
          </reference>
          <reference field="8" count="1">
            <x v="6"/>
          </reference>
        </references>
      </pivotArea>
    </format>
    <format dxfId="190">
      <pivotArea dataOnly="0" labelOnly="1" outline="0" fieldPosition="0">
        <references count="4">
          <reference field="0" count="1" selected="0">
            <x v="26"/>
          </reference>
          <reference field="4" count="1" selected="0">
            <x v="2"/>
          </reference>
          <reference field="5" count="1" selected="0">
            <x v="2"/>
          </reference>
          <reference field="8" count="1">
            <x v="1"/>
          </reference>
        </references>
      </pivotArea>
    </format>
    <format dxfId="189">
      <pivotArea dataOnly="0" labelOnly="1" outline="0" fieldPosition="0">
        <references count="4">
          <reference field="0" count="1" selected="0">
            <x v="27"/>
          </reference>
          <reference field="4" count="1" selected="0">
            <x v="2"/>
          </reference>
          <reference field="5" count="1" selected="0">
            <x v="3"/>
          </reference>
          <reference field="8" count="1">
            <x v="7"/>
          </reference>
        </references>
      </pivotArea>
    </format>
    <format dxfId="188">
      <pivotArea dataOnly="0" labelOnly="1" outline="0" fieldPosition="0">
        <references count="4">
          <reference field="0" count="1" selected="0">
            <x v="28"/>
          </reference>
          <reference field="4" count="1" selected="0">
            <x v="2"/>
          </reference>
          <reference field="5" count="1" selected="0">
            <x v="3"/>
          </reference>
          <reference field="8" count="1">
            <x v="6"/>
          </reference>
        </references>
      </pivotArea>
    </format>
    <format dxfId="187">
      <pivotArea dataOnly="0" labelOnly="1" outline="0" fieldPosition="0">
        <references count="4">
          <reference field="0" count="1" selected="0">
            <x v="30"/>
          </reference>
          <reference field="4" count="1" selected="0">
            <x v="2"/>
          </reference>
          <reference field="5" count="1" selected="0">
            <x v="3"/>
          </reference>
          <reference field="8" count="1">
            <x v="7"/>
          </reference>
        </references>
      </pivotArea>
    </format>
    <format dxfId="186">
      <pivotArea dataOnly="0" labelOnly="1" outline="0" fieldPosition="0">
        <references count="4">
          <reference field="0" count="1" selected="0">
            <x v="31"/>
          </reference>
          <reference field="4" count="1" selected="0">
            <x v="2"/>
          </reference>
          <reference field="5" count="1" selected="0">
            <x v="3"/>
          </reference>
          <reference field="8" count="1">
            <x v="1"/>
          </reference>
        </references>
      </pivotArea>
    </format>
    <format dxfId="185">
      <pivotArea dataOnly="0" labelOnly="1" outline="0" fieldPosition="0">
        <references count="4">
          <reference field="0" count="1" selected="0">
            <x v="32"/>
          </reference>
          <reference field="4" count="1" selected="0">
            <x v="2"/>
          </reference>
          <reference field="5" count="1" selected="0">
            <x v="3"/>
          </reference>
          <reference field="8" count="1">
            <x v="7"/>
          </reference>
        </references>
      </pivotArea>
    </format>
    <format dxfId="184">
      <pivotArea dataOnly="0" labelOnly="1" outline="0" fieldPosition="0">
        <references count="4">
          <reference field="0" count="1" selected="0">
            <x v="33"/>
          </reference>
          <reference field="4" count="1" selected="0">
            <x v="1"/>
          </reference>
          <reference field="5" count="1" selected="0">
            <x v="4"/>
          </reference>
          <reference field="8" count="1">
            <x v="8"/>
          </reference>
        </references>
      </pivotArea>
    </format>
    <format dxfId="183">
      <pivotArea dataOnly="0" labelOnly="1" outline="0" fieldPosition="0">
        <references count="4">
          <reference field="0" count="1" selected="0">
            <x v="36"/>
          </reference>
          <reference field="4" count="1" selected="0">
            <x v="1"/>
          </reference>
          <reference field="5" count="1" selected="0">
            <x v="4"/>
          </reference>
          <reference field="8" count="1">
            <x v="9"/>
          </reference>
        </references>
      </pivotArea>
    </format>
    <format dxfId="182">
      <pivotArea dataOnly="0" labelOnly="1" outline="0" fieldPosition="0">
        <references count="4">
          <reference field="0" count="1" selected="0">
            <x v="37"/>
          </reference>
          <reference field="4" count="1" selected="0">
            <x v="1"/>
          </reference>
          <reference field="5" count="1" selected="0">
            <x v="4"/>
          </reference>
          <reference field="8" count="1">
            <x v="11"/>
          </reference>
        </references>
      </pivotArea>
    </format>
    <format dxfId="181">
      <pivotArea dataOnly="0" labelOnly="1" outline="0" fieldPosition="0">
        <references count="4">
          <reference field="0" count="1" selected="0">
            <x v="38"/>
          </reference>
          <reference field="4" count="1" selected="0">
            <x v="1"/>
          </reference>
          <reference field="5" count="1" selected="0">
            <x v="4"/>
          </reference>
          <reference field="8" count="1">
            <x v="7"/>
          </reference>
        </references>
      </pivotArea>
    </format>
    <format dxfId="180">
      <pivotArea dataOnly="0" labelOnly="1" outline="0" fieldPosition="0">
        <references count="4">
          <reference field="0" count="1" selected="0">
            <x v="39"/>
          </reference>
          <reference field="4" count="1" selected="0">
            <x v="1"/>
          </reference>
          <reference field="5" count="1" selected="0">
            <x v="5"/>
          </reference>
          <reference field="8" count="1">
            <x v="12"/>
          </reference>
        </references>
      </pivotArea>
    </format>
    <format dxfId="179">
      <pivotArea dataOnly="0" labelOnly="1" outline="0" fieldPosition="0">
        <references count="4">
          <reference field="0" count="1" selected="0">
            <x v="43"/>
          </reference>
          <reference field="4" count="1" selected="0">
            <x v="1"/>
          </reference>
          <reference field="5" count="1" selected="0">
            <x v="5"/>
          </reference>
          <reference field="8" count="1">
            <x v="13"/>
          </reference>
        </references>
      </pivotArea>
    </format>
    <format dxfId="178">
      <pivotArea dataOnly="0" labelOnly="1" outline="0" fieldPosition="0">
        <references count="4">
          <reference field="0" count="1" selected="0">
            <x v="49"/>
          </reference>
          <reference field="4" count="1" selected="0">
            <x v="1"/>
          </reference>
          <reference field="5" count="1" selected="0">
            <x v="5"/>
          </reference>
          <reference field="8" count="1">
            <x v="3"/>
          </reference>
        </references>
      </pivotArea>
    </format>
    <format dxfId="177">
      <pivotArea dataOnly="0" labelOnly="1" outline="0" fieldPosition="0">
        <references count="4">
          <reference field="0" count="1" selected="0">
            <x v="52"/>
          </reference>
          <reference field="4" count="1" selected="0">
            <x v="1"/>
          </reference>
          <reference field="5" count="1" selected="0">
            <x v="6"/>
          </reference>
          <reference field="8" count="1">
            <x v="12"/>
          </reference>
        </references>
      </pivotArea>
    </format>
    <format dxfId="176">
      <pivotArea dataOnly="0" labelOnly="1" outline="0" fieldPosition="0">
        <references count="4">
          <reference field="0" count="1" selected="0">
            <x v="58"/>
          </reference>
          <reference field="4" count="1" selected="0">
            <x v="1"/>
          </reference>
          <reference field="5" count="1" selected="0">
            <x v="6"/>
          </reference>
          <reference field="8" count="1">
            <x v="13"/>
          </reference>
        </references>
      </pivotArea>
    </format>
    <format dxfId="175">
      <pivotArea dataOnly="0" labelOnly="1" outline="0" fieldPosition="0">
        <references count="4">
          <reference field="0" count="1" selected="0">
            <x v="64"/>
          </reference>
          <reference field="4" count="1" selected="0">
            <x v="1"/>
          </reference>
          <reference field="5" count="1" selected="0">
            <x v="6"/>
          </reference>
          <reference field="8" count="1">
            <x v="3"/>
          </reference>
        </references>
      </pivotArea>
    </format>
    <format dxfId="174">
      <pivotArea dataOnly="0" labelOnly="1" outline="0" fieldPosition="0">
        <references count="4">
          <reference field="0" count="1" selected="0">
            <x v="65"/>
          </reference>
          <reference field="4" count="1" selected="0">
            <x v="1"/>
          </reference>
          <reference field="5" count="1" selected="0">
            <x v="6"/>
          </reference>
          <reference field="8" count="1">
            <x v="7"/>
          </reference>
        </references>
      </pivotArea>
    </format>
    <format dxfId="173">
      <pivotArea dataOnly="0" labelOnly="1" outline="0" fieldPosition="0">
        <references count="4">
          <reference field="0" count="1" selected="0">
            <x v="67"/>
          </reference>
          <reference field="4" count="1" selected="0">
            <x v="0"/>
          </reference>
          <reference field="5" count="1" selected="0">
            <x v="7"/>
          </reference>
          <reference field="8" count="1">
            <x v="2"/>
          </reference>
        </references>
      </pivotArea>
    </format>
    <format dxfId="172">
      <pivotArea dataOnly="0" labelOnly="1" outline="0" fieldPosition="0">
        <references count="4">
          <reference field="0" count="1" selected="0">
            <x v="70"/>
          </reference>
          <reference field="4" count="1" selected="0">
            <x v="0"/>
          </reference>
          <reference field="5" count="1" selected="0">
            <x v="8"/>
          </reference>
          <reference field="8" count="1">
            <x v="2"/>
          </reference>
        </references>
      </pivotArea>
    </format>
    <format dxfId="171">
      <pivotArea dataOnly="0" labelOnly="1" outline="0" fieldPosition="0">
        <references count="4">
          <reference field="0" count="1" selected="0">
            <x v="0"/>
          </reference>
          <reference field="4" count="1" selected="0">
            <x v="0"/>
          </reference>
          <reference field="5" count="1" selected="0">
            <x v="9"/>
          </reference>
          <reference field="8" count="1">
            <x v="2"/>
          </reference>
        </references>
      </pivotArea>
    </format>
    <format dxfId="170">
      <pivotArea dataOnly="0" labelOnly="1" outline="0" fieldPosition="0">
        <references count="4">
          <reference field="0" count="1" selected="0">
            <x v="3"/>
          </reference>
          <reference field="4" count="1" selected="0">
            <x v="0"/>
          </reference>
          <reference field="5" count="1" selected="0">
            <x v="10"/>
          </reference>
          <reference field="8" count="1">
            <x v="2"/>
          </reference>
        </references>
      </pivotArea>
    </format>
    <format dxfId="169">
      <pivotArea dataOnly="0" labelOnly="1" outline="0" fieldPosition="0">
        <references count="4">
          <reference field="0" count="1" selected="0">
            <x v="6"/>
          </reference>
          <reference field="4" count="1" selected="0">
            <x v="0"/>
          </reference>
          <reference field="5" count="1" selected="0">
            <x v="11"/>
          </reference>
          <reference field="8" count="1">
            <x v="2"/>
          </reference>
        </references>
      </pivotArea>
    </format>
    <format dxfId="168">
      <pivotArea dataOnly="0" labelOnly="1" outline="0" fieldPosition="0">
        <references count="5">
          <reference field="0" count="1" selected="0">
            <x v="9"/>
          </reference>
          <reference field="4" count="1" selected="0">
            <x v="2"/>
          </reference>
          <reference field="5" count="1" selected="0">
            <x v="0"/>
          </reference>
          <reference field="8" count="1" selected="0">
            <x v="6"/>
          </reference>
          <reference field="10" count="1">
            <x v="0"/>
          </reference>
        </references>
      </pivotArea>
    </format>
    <format dxfId="167">
      <pivotArea dataOnly="0" labelOnly="1" outline="0" fieldPosition="0">
        <references count="5">
          <reference field="0" count="1" selected="0">
            <x v="15"/>
          </reference>
          <reference field="4" count="1" selected="0">
            <x v="2"/>
          </reference>
          <reference field="5" count="1" selected="0">
            <x v="1"/>
          </reference>
          <reference field="8" count="1" selected="0">
            <x v="12"/>
          </reference>
          <reference field="10" count="1">
            <x v="0"/>
          </reference>
        </references>
      </pivotArea>
    </format>
    <format dxfId="166">
      <pivotArea dataOnly="0" labelOnly="1" outline="0" fieldPosition="0">
        <references count="5">
          <reference field="0" count="1" selected="0">
            <x v="19"/>
          </reference>
          <reference field="4" count="1" selected="0">
            <x v="2"/>
          </reference>
          <reference field="5" count="1" selected="0">
            <x v="1"/>
          </reference>
          <reference field="8" count="1" selected="0">
            <x v="1"/>
          </reference>
          <reference field="10" count="1">
            <x v="2"/>
          </reference>
        </references>
      </pivotArea>
    </format>
    <format dxfId="165">
      <pivotArea dataOnly="0" labelOnly="1" outline="0" fieldPosition="0">
        <references count="5">
          <reference field="0" count="1" selected="0">
            <x v="21"/>
          </reference>
          <reference field="4" count="1" selected="0">
            <x v="2"/>
          </reference>
          <reference field="5" count="1" selected="0">
            <x v="2"/>
          </reference>
          <reference field="8" count="1" selected="0">
            <x v="6"/>
          </reference>
          <reference field="10" count="1">
            <x v="0"/>
          </reference>
        </references>
      </pivotArea>
    </format>
    <format dxfId="164">
      <pivotArea dataOnly="0" labelOnly="1" outline="0" fieldPosition="0">
        <references count="5">
          <reference field="0" count="1" selected="0">
            <x v="27"/>
          </reference>
          <reference field="4" count="1" selected="0">
            <x v="2"/>
          </reference>
          <reference field="5" count="1" selected="0">
            <x v="3"/>
          </reference>
          <reference field="8" count="1" selected="0">
            <x v="7"/>
          </reference>
          <reference field="10" count="1">
            <x v="0"/>
          </reference>
        </references>
      </pivotArea>
    </format>
    <format dxfId="163">
      <pivotArea dataOnly="0" labelOnly="1" outline="0" fieldPosition="0">
        <references count="5">
          <reference field="0" count="1" selected="0">
            <x v="33"/>
          </reference>
          <reference field="4" count="1" selected="0">
            <x v="1"/>
          </reference>
          <reference field="5" count="1" selected="0">
            <x v="4"/>
          </reference>
          <reference field="8" count="1" selected="0">
            <x v="8"/>
          </reference>
          <reference field="10" count="1">
            <x v="0"/>
          </reference>
        </references>
      </pivotArea>
    </format>
    <format dxfId="162">
      <pivotArea dataOnly="0" labelOnly="1" outline="0" fieldPosition="0">
        <references count="5">
          <reference field="0" count="1" selected="0">
            <x v="35"/>
          </reference>
          <reference field="4" count="1" selected="0">
            <x v="1"/>
          </reference>
          <reference field="5" count="1" selected="0">
            <x v="4"/>
          </reference>
          <reference field="8" count="1" selected="0">
            <x v="8"/>
          </reference>
          <reference field="10" count="1">
            <x v="2"/>
          </reference>
        </references>
      </pivotArea>
    </format>
    <format dxfId="161">
      <pivotArea dataOnly="0" labelOnly="1" outline="0" fieldPosition="0">
        <references count="5">
          <reference field="0" count="1" selected="0">
            <x v="38"/>
          </reference>
          <reference field="4" count="1" selected="0">
            <x v="1"/>
          </reference>
          <reference field="5" count="1" selected="0">
            <x v="4"/>
          </reference>
          <reference field="8" count="1" selected="0">
            <x v="7"/>
          </reference>
          <reference field="10" count="1">
            <x v="0"/>
          </reference>
        </references>
      </pivotArea>
    </format>
    <format dxfId="160">
      <pivotArea dataOnly="0" labelOnly="1" outline="0" fieldPosition="0">
        <references count="5">
          <reference field="0" count="1" selected="0">
            <x v="39"/>
          </reference>
          <reference field="4" count="1" selected="0">
            <x v="1"/>
          </reference>
          <reference field="5" count="1" selected="0">
            <x v="5"/>
          </reference>
          <reference field="8" count="1" selected="0">
            <x v="12"/>
          </reference>
          <reference field="10" count="1">
            <x v="0"/>
          </reference>
        </references>
      </pivotArea>
    </format>
    <format dxfId="159">
      <pivotArea dataOnly="0" labelOnly="1" outline="0" fieldPosition="0">
        <references count="5">
          <reference field="0" count="1" selected="0">
            <x v="52"/>
          </reference>
          <reference field="4" count="1" selected="0">
            <x v="1"/>
          </reference>
          <reference field="5" count="1" selected="0">
            <x v="6"/>
          </reference>
          <reference field="8" count="1" selected="0">
            <x v="12"/>
          </reference>
          <reference field="10" count="1">
            <x v="0"/>
          </reference>
        </references>
      </pivotArea>
    </format>
    <format dxfId="158">
      <pivotArea dataOnly="0" labelOnly="1" outline="0" fieldPosition="0">
        <references count="5">
          <reference field="0" count="1" selected="0">
            <x v="67"/>
          </reference>
          <reference field="4" count="1" selected="0">
            <x v="0"/>
          </reference>
          <reference field="5" count="1" selected="0">
            <x v="7"/>
          </reference>
          <reference field="8" count="1" selected="0">
            <x v="2"/>
          </reference>
          <reference field="10" count="1">
            <x v="0"/>
          </reference>
        </references>
      </pivotArea>
    </format>
    <format dxfId="157">
      <pivotArea dataOnly="0" labelOnly="1" outline="0" fieldPosition="0">
        <references count="5">
          <reference field="0" count="1" selected="0">
            <x v="70"/>
          </reference>
          <reference field="4" count="1" selected="0">
            <x v="0"/>
          </reference>
          <reference field="5" count="1" selected="0">
            <x v="8"/>
          </reference>
          <reference field="8" count="1" selected="0">
            <x v="2"/>
          </reference>
          <reference field="10" count="1">
            <x v="0"/>
          </reference>
        </references>
      </pivotArea>
    </format>
    <format dxfId="156">
      <pivotArea dataOnly="0" labelOnly="1" outline="0" fieldPosition="0">
        <references count="5">
          <reference field="0" count="1" selected="0">
            <x v="0"/>
          </reference>
          <reference field="4" count="1" selected="0">
            <x v="0"/>
          </reference>
          <reference field="5" count="1" selected="0">
            <x v="9"/>
          </reference>
          <reference field="8" count="1" selected="0">
            <x v="2"/>
          </reference>
          <reference field="10" count="1">
            <x v="0"/>
          </reference>
        </references>
      </pivotArea>
    </format>
    <format dxfId="155">
      <pivotArea dataOnly="0" labelOnly="1" outline="0" fieldPosition="0">
        <references count="5">
          <reference field="0" count="1" selected="0">
            <x v="3"/>
          </reference>
          <reference field="4" count="1" selected="0">
            <x v="0"/>
          </reference>
          <reference field="5" count="1" selected="0">
            <x v="10"/>
          </reference>
          <reference field="8" count="1" selected="0">
            <x v="2"/>
          </reference>
          <reference field="10" count="1">
            <x v="0"/>
          </reference>
        </references>
      </pivotArea>
    </format>
    <format dxfId="154">
      <pivotArea dataOnly="0" labelOnly="1" outline="0" fieldPosition="0">
        <references count="5">
          <reference field="0" count="1" selected="0">
            <x v="6"/>
          </reference>
          <reference field="4" count="1" selected="0">
            <x v="0"/>
          </reference>
          <reference field="5" count="1" selected="0">
            <x v="11"/>
          </reference>
          <reference field="8" count="1" selected="0">
            <x v="2"/>
          </reference>
          <reference field="10" count="1">
            <x v="0"/>
          </reference>
        </references>
      </pivotArea>
    </format>
    <format dxfId="153">
      <pivotArea dataOnly="0" labelOnly="1" outline="0" fieldPosition="0">
        <references count="6">
          <reference field="0" count="1" selected="0">
            <x v="9"/>
          </reference>
          <reference field="4" count="1" selected="0">
            <x v="2"/>
          </reference>
          <reference field="5" count="1" selected="0">
            <x v="0"/>
          </reference>
          <reference field="8" count="1" selected="0">
            <x v="6"/>
          </reference>
          <reference field="10" count="1" selected="0">
            <x v="0"/>
          </reference>
          <reference field="12" count="1">
            <x v="16"/>
          </reference>
        </references>
      </pivotArea>
    </format>
    <format dxfId="152">
      <pivotArea dataOnly="0" labelOnly="1" outline="0" fieldPosition="0">
        <references count="6">
          <reference field="0" count="1" selected="0">
            <x v="10"/>
          </reference>
          <reference field="4" count="1" selected="0">
            <x v="2"/>
          </reference>
          <reference field="5" count="1" selected="0">
            <x v="0"/>
          </reference>
          <reference field="8" count="1" selected="0">
            <x v="6"/>
          </reference>
          <reference field="10" count="1" selected="0">
            <x v="0"/>
          </reference>
          <reference field="12" count="1">
            <x v="36"/>
          </reference>
        </references>
      </pivotArea>
    </format>
    <format dxfId="151">
      <pivotArea dataOnly="0" labelOnly="1" outline="0" fieldPosition="0">
        <references count="6">
          <reference field="0" count="1" selected="0">
            <x v="11"/>
          </reference>
          <reference field="4" count="1" selected="0">
            <x v="2"/>
          </reference>
          <reference field="5" count="1" selected="0">
            <x v="0"/>
          </reference>
          <reference field="8" count="1" selected="0">
            <x v="7"/>
          </reference>
          <reference field="10" count="1" selected="0">
            <x v="0"/>
          </reference>
          <reference field="12" count="1">
            <x v="6"/>
          </reference>
        </references>
      </pivotArea>
    </format>
    <format dxfId="150">
      <pivotArea dataOnly="0" labelOnly="1" outline="0" fieldPosition="0">
        <references count="6">
          <reference field="0" count="1" selected="0">
            <x v="12"/>
          </reference>
          <reference field="4" count="1" selected="0">
            <x v="2"/>
          </reference>
          <reference field="5" count="1" selected="0">
            <x v="0"/>
          </reference>
          <reference field="8" count="1" selected="0">
            <x v="7"/>
          </reference>
          <reference field="10" count="1" selected="0">
            <x v="0"/>
          </reference>
          <reference field="12" count="3">
            <x v="0"/>
            <x v="2"/>
            <x v="5"/>
          </reference>
        </references>
      </pivotArea>
    </format>
    <format dxfId="149">
      <pivotArea dataOnly="0" labelOnly="1" outline="0" fieldPosition="0">
        <references count="6">
          <reference field="0" count="1" selected="0">
            <x v="13"/>
          </reference>
          <reference field="4" count="1" selected="0">
            <x v="2"/>
          </reference>
          <reference field="5" count="1" selected="0">
            <x v="0"/>
          </reference>
          <reference field="8" count="1" selected="0">
            <x v="6"/>
          </reference>
          <reference field="10" count="1" selected="0">
            <x v="0"/>
          </reference>
          <reference field="12" count="1">
            <x v="3"/>
          </reference>
        </references>
      </pivotArea>
    </format>
    <format dxfId="148">
      <pivotArea dataOnly="0" labelOnly="1" outline="0" fieldPosition="0">
        <references count="6">
          <reference field="0" count="1" selected="0">
            <x v="14"/>
          </reference>
          <reference field="4" count="1" selected="0">
            <x v="2"/>
          </reference>
          <reference field="5" count="1" selected="0">
            <x v="0"/>
          </reference>
          <reference field="8" count="1" selected="0">
            <x v="6"/>
          </reference>
          <reference field="10" count="1" selected="0">
            <x v="0"/>
          </reference>
          <reference field="12" count="2">
            <x v="37"/>
            <x v="38"/>
          </reference>
        </references>
      </pivotArea>
    </format>
    <format dxfId="147">
      <pivotArea dataOnly="0" labelOnly="1" outline="0" fieldPosition="0">
        <references count="6">
          <reference field="0" count="1" selected="0">
            <x v="15"/>
          </reference>
          <reference field="4" count="1" selected="0">
            <x v="2"/>
          </reference>
          <reference field="5" count="1" selected="0">
            <x v="1"/>
          </reference>
          <reference field="8" count="1" selected="0">
            <x v="12"/>
          </reference>
          <reference field="10" count="1" selected="0">
            <x v="0"/>
          </reference>
          <reference field="12" count="2">
            <x v="15"/>
            <x v="28"/>
          </reference>
        </references>
      </pivotArea>
    </format>
    <format dxfId="146">
      <pivotArea dataOnly="0" labelOnly="1" outline="0" fieldPosition="0">
        <references count="6">
          <reference field="0" count="1" selected="0">
            <x v="16"/>
          </reference>
          <reference field="4" count="1" selected="0">
            <x v="2"/>
          </reference>
          <reference field="5" count="1" selected="0">
            <x v="1"/>
          </reference>
          <reference field="8" count="1" selected="0">
            <x v="1"/>
          </reference>
          <reference field="10" count="1" selected="0">
            <x v="0"/>
          </reference>
          <reference field="12" count="1">
            <x v="33"/>
          </reference>
        </references>
      </pivotArea>
    </format>
    <format dxfId="145">
      <pivotArea dataOnly="0" labelOnly="1" outline="0" fieldPosition="0">
        <references count="6">
          <reference field="0" count="1" selected="0">
            <x v="18"/>
          </reference>
          <reference field="4" count="1" selected="0">
            <x v="2"/>
          </reference>
          <reference field="5" count="1" selected="0">
            <x v="1"/>
          </reference>
          <reference field="8" count="1" selected="0">
            <x v="7"/>
          </reference>
          <reference field="10" count="1" selected="0">
            <x v="0"/>
          </reference>
          <reference field="12" count="2">
            <x v="0"/>
            <x v="40"/>
          </reference>
        </references>
      </pivotArea>
    </format>
    <format dxfId="144">
      <pivotArea dataOnly="0" labelOnly="1" outline="0" fieldPosition="0">
        <references count="6">
          <reference field="0" count="1" selected="0">
            <x v="19"/>
          </reference>
          <reference field="4" count="1" selected="0">
            <x v="2"/>
          </reference>
          <reference field="5" count="1" selected="0">
            <x v="1"/>
          </reference>
          <reference field="8" count="1" selected="0">
            <x v="1"/>
          </reference>
          <reference field="10" count="1" selected="0">
            <x v="2"/>
          </reference>
          <reference field="12" count="1">
            <x v="34"/>
          </reference>
        </references>
      </pivotArea>
    </format>
    <format dxfId="143">
      <pivotArea dataOnly="0" labelOnly="1" outline="0" fieldPosition="0">
        <references count="6">
          <reference field="0" count="1" selected="0">
            <x v="21"/>
          </reference>
          <reference field="4" count="1" selected="0">
            <x v="2"/>
          </reference>
          <reference field="5" count="1" selected="0">
            <x v="2"/>
          </reference>
          <reference field="8" count="1" selected="0">
            <x v="6"/>
          </reference>
          <reference field="10" count="1" selected="0">
            <x v="0"/>
          </reference>
          <reference field="12" count="1">
            <x v="13"/>
          </reference>
        </references>
      </pivotArea>
    </format>
    <format dxfId="142">
      <pivotArea dataOnly="0" labelOnly="1" outline="0" fieldPosition="0">
        <references count="6">
          <reference field="0" count="1" selected="0">
            <x v="22"/>
          </reference>
          <reference field="4" count="1" selected="0">
            <x v="2"/>
          </reference>
          <reference field="5" count="1" selected="0">
            <x v="2"/>
          </reference>
          <reference field="8" count="1" selected="0">
            <x v="6"/>
          </reference>
          <reference field="10" count="1" selected="0">
            <x v="0"/>
          </reference>
          <reference field="12" count="1">
            <x v="17"/>
          </reference>
        </references>
      </pivotArea>
    </format>
    <format dxfId="141">
      <pivotArea dataOnly="0" labelOnly="1" outline="0" fieldPosition="0">
        <references count="6">
          <reference field="0" count="1" selected="0">
            <x v="23"/>
          </reference>
          <reference field="4" count="1" selected="0">
            <x v="2"/>
          </reference>
          <reference field="5" count="1" selected="0">
            <x v="2"/>
          </reference>
          <reference field="8" count="1" selected="0">
            <x v="7"/>
          </reference>
          <reference field="10" count="1" selected="0">
            <x v="0"/>
          </reference>
          <reference field="12" count="1">
            <x v="7"/>
          </reference>
        </references>
      </pivotArea>
    </format>
    <format dxfId="140">
      <pivotArea dataOnly="0" labelOnly="1" outline="0" fieldPosition="0">
        <references count="6">
          <reference field="0" count="1" selected="0">
            <x v="24"/>
          </reference>
          <reference field="4" count="1" selected="0">
            <x v="2"/>
          </reference>
          <reference field="5" count="1" selected="0">
            <x v="2"/>
          </reference>
          <reference field="8" count="1" selected="0">
            <x v="7"/>
          </reference>
          <reference field="10" count="1" selected="0">
            <x v="0"/>
          </reference>
          <reference field="12" count="3">
            <x v="0"/>
            <x v="2"/>
            <x v="41"/>
          </reference>
        </references>
      </pivotArea>
    </format>
    <format dxfId="139">
      <pivotArea dataOnly="0" labelOnly="1" outline="0" fieldPosition="0">
        <references count="6">
          <reference field="0" count="1" selected="0">
            <x v="25"/>
          </reference>
          <reference field="4" count="1" selected="0">
            <x v="2"/>
          </reference>
          <reference field="5" count="1" selected="0">
            <x v="2"/>
          </reference>
          <reference field="8" count="1" selected="0">
            <x v="6"/>
          </reference>
          <reference field="10" count="1" selected="0">
            <x v="0"/>
          </reference>
          <reference field="12" count="1">
            <x v="3"/>
          </reference>
        </references>
      </pivotArea>
    </format>
    <format dxfId="138">
      <pivotArea dataOnly="0" labelOnly="1" outline="0" fieldPosition="0">
        <references count="6">
          <reference field="0" count="1" selected="0">
            <x v="26"/>
          </reference>
          <reference field="4" count="1" selected="0">
            <x v="2"/>
          </reference>
          <reference field="5" count="1" selected="0">
            <x v="2"/>
          </reference>
          <reference field="8" count="1" selected="0">
            <x v="1"/>
          </reference>
          <reference field="10" count="1" selected="0">
            <x v="0"/>
          </reference>
          <reference field="12" count="1">
            <x v="9"/>
          </reference>
        </references>
      </pivotArea>
    </format>
    <format dxfId="137">
      <pivotArea dataOnly="0" labelOnly="1" outline="0" fieldPosition="0">
        <references count="6">
          <reference field="0" count="1" selected="0">
            <x v="27"/>
          </reference>
          <reference field="4" count="1" selected="0">
            <x v="2"/>
          </reference>
          <reference field="5" count="1" selected="0">
            <x v="3"/>
          </reference>
          <reference field="8" count="1" selected="0">
            <x v="7"/>
          </reference>
          <reference field="10" count="1" selected="0">
            <x v="0"/>
          </reference>
          <reference field="12" count="1">
            <x v="22"/>
          </reference>
        </references>
      </pivotArea>
    </format>
    <format dxfId="136">
      <pivotArea dataOnly="0" labelOnly="1" outline="0" fieldPosition="0">
        <references count="6">
          <reference field="0" count="1" selected="0">
            <x v="28"/>
          </reference>
          <reference field="4" count="1" selected="0">
            <x v="2"/>
          </reference>
          <reference field="5" count="1" selected="0">
            <x v="3"/>
          </reference>
          <reference field="8" count="1" selected="0">
            <x v="6"/>
          </reference>
          <reference field="10" count="1" selected="0">
            <x v="0"/>
          </reference>
          <reference field="12" count="1">
            <x v="19"/>
          </reference>
        </references>
      </pivotArea>
    </format>
    <format dxfId="135">
      <pivotArea dataOnly="0" labelOnly="1" outline="0" fieldPosition="0">
        <references count="6">
          <reference field="0" count="1" selected="0">
            <x v="29"/>
          </reference>
          <reference field="4" count="1" selected="0">
            <x v="2"/>
          </reference>
          <reference field="5" count="1" selected="0">
            <x v="3"/>
          </reference>
          <reference field="8" count="1" selected="0">
            <x v="6"/>
          </reference>
          <reference field="10" count="1" selected="0">
            <x v="0"/>
          </reference>
          <reference field="12" count="1">
            <x v="11"/>
          </reference>
        </references>
      </pivotArea>
    </format>
    <format dxfId="134">
      <pivotArea dataOnly="0" labelOnly="1" outline="0" fieldPosition="0">
        <references count="6">
          <reference field="0" count="1" selected="0">
            <x v="30"/>
          </reference>
          <reference field="4" count="1" selected="0">
            <x v="2"/>
          </reference>
          <reference field="5" count="1" selected="0">
            <x v="3"/>
          </reference>
          <reference field="8" count="1" selected="0">
            <x v="7"/>
          </reference>
          <reference field="10" count="1" selected="0">
            <x v="0"/>
          </reference>
          <reference field="12" count="2">
            <x v="1"/>
            <x v="41"/>
          </reference>
        </references>
      </pivotArea>
    </format>
    <format dxfId="133">
      <pivotArea dataOnly="0" labelOnly="1" outline="0" fieldPosition="0">
        <references count="6">
          <reference field="0" count="1" selected="0">
            <x v="31"/>
          </reference>
          <reference field="4" count="1" selected="0">
            <x v="2"/>
          </reference>
          <reference field="5" count="1" selected="0">
            <x v="3"/>
          </reference>
          <reference field="8" count="1" selected="0">
            <x v="1"/>
          </reference>
          <reference field="10" count="1" selected="0">
            <x v="0"/>
          </reference>
          <reference field="12" count="1">
            <x v="34"/>
          </reference>
        </references>
      </pivotArea>
    </format>
    <format dxfId="132">
      <pivotArea dataOnly="0" labelOnly="1" outline="0" fieldPosition="0">
        <references count="6">
          <reference field="0" count="1" selected="0">
            <x v="32"/>
          </reference>
          <reference field="4" count="1" selected="0">
            <x v="2"/>
          </reference>
          <reference field="5" count="1" selected="0">
            <x v="3"/>
          </reference>
          <reference field="8" count="1" selected="0">
            <x v="7"/>
          </reference>
          <reference field="10" count="1" selected="0">
            <x v="0"/>
          </reference>
          <reference field="12" count="2">
            <x v="1"/>
            <x v="40"/>
          </reference>
        </references>
      </pivotArea>
    </format>
    <format dxfId="131">
      <pivotArea dataOnly="0" labelOnly="1" outline="0" fieldPosition="0">
        <references count="6">
          <reference field="0" count="1" selected="0">
            <x v="33"/>
          </reference>
          <reference field="4" count="1" selected="0">
            <x v="1"/>
          </reference>
          <reference field="5" count="1" selected="0">
            <x v="4"/>
          </reference>
          <reference field="8" count="1" selected="0">
            <x v="8"/>
          </reference>
          <reference field="10" count="1" selected="0">
            <x v="0"/>
          </reference>
          <reference field="12" count="1">
            <x v="10"/>
          </reference>
        </references>
      </pivotArea>
    </format>
    <format dxfId="130">
      <pivotArea dataOnly="0" labelOnly="1" outline="0" fieldPosition="0">
        <references count="6">
          <reference field="0" count="1" selected="0">
            <x v="34"/>
          </reference>
          <reference field="4" count="1" selected="0">
            <x v="1"/>
          </reference>
          <reference field="5" count="1" selected="0">
            <x v="4"/>
          </reference>
          <reference field="8" count="1" selected="0">
            <x v="8"/>
          </reference>
          <reference field="10" count="1" selected="0">
            <x v="0"/>
          </reference>
          <reference field="12" count="1">
            <x v="9"/>
          </reference>
        </references>
      </pivotArea>
    </format>
    <format dxfId="129">
      <pivotArea dataOnly="0" labelOnly="1" outline="0" fieldPosition="0">
        <references count="6">
          <reference field="0" count="1" selected="0">
            <x v="35"/>
          </reference>
          <reference field="4" count="1" selected="0">
            <x v="1"/>
          </reference>
          <reference field="5" count="1" selected="0">
            <x v="4"/>
          </reference>
          <reference field="8" count="1" selected="0">
            <x v="8"/>
          </reference>
          <reference field="10" count="1" selected="0">
            <x v="2"/>
          </reference>
          <reference field="12" count="1">
            <x v="39"/>
          </reference>
        </references>
      </pivotArea>
    </format>
    <format dxfId="128">
      <pivotArea dataOnly="0" labelOnly="1" outline="0" fieldPosition="0">
        <references count="6">
          <reference field="0" count="1" selected="0">
            <x v="37"/>
          </reference>
          <reference field="4" count="1" selected="0">
            <x v="1"/>
          </reference>
          <reference field="5" count="1" selected="0">
            <x v="4"/>
          </reference>
          <reference field="8" count="1" selected="0">
            <x v="11"/>
          </reference>
          <reference field="10" count="1" selected="0">
            <x v="2"/>
          </reference>
          <reference field="12" count="1">
            <x v="34"/>
          </reference>
        </references>
      </pivotArea>
    </format>
    <format dxfId="127">
      <pivotArea dataOnly="0" labelOnly="1" outline="0" fieldPosition="0">
        <references count="6">
          <reference field="0" count="1" selected="0">
            <x v="38"/>
          </reference>
          <reference field="4" count="1" selected="0">
            <x v="1"/>
          </reference>
          <reference field="5" count="1" selected="0">
            <x v="4"/>
          </reference>
          <reference field="8" count="1" selected="0">
            <x v="7"/>
          </reference>
          <reference field="10" count="1" selected="0">
            <x v="0"/>
          </reference>
          <reference field="12" count="2">
            <x v="0"/>
            <x v="41"/>
          </reference>
        </references>
      </pivotArea>
    </format>
    <format dxfId="126">
      <pivotArea dataOnly="0" labelOnly="1" outline="0" fieldPosition="0">
        <references count="6">
          <reference field="0" count="1" selected="0">
            <x v="39"/>
          </reference>
          <reference field="4" count="1" selected="0">
            <x v="1"/>
          </reference>
          <reference field="5" count="1" selected="0">
            <x v="5"/>
          </reference>
          <reference field="8" count="1" selected="0">
            <x v="12"/>
          </reference>
          <reference field="10" count="1" selected="0">
            <x v="0"/>
          </reference>
          <reference field="12" count="1">
            <x v="24"/>
          </reference>
        </references>
      </pivotArea>
    </format>
    <format dxfId="125">
      <pivotArea dataOnly="0" labelOnly="1" outline="0" fieldPosition="0">
        <references count="6">
          <reference field="0" count="1" selected="0">
            <x v="43"/>
          </reference>
          <reference field="4" count="1" selected="0">
            <x v="1"/>
          </reference>
          <reference field="5" count="1" selected="0">
            <x v="5"/>
          </reference>
          <reference field="8" count="1" selected="0">
            <x v="13"/>
          </reference>
          <reference field="10" count="1" selected="0">
            <x v="0"/>
          </reference>
          <reference field="12" count="1">
            <x v="21"/>
          </reference>
        </references>
      </pivotArea>
    </format>
    <format dxfId="124">
      <pivotArea dataOnly="0" labelOnly="1" outline="0" fieldPosition="0">
        <references count="6">
          <reference field="0" count="1" selected="0">
            <x v="49"/>
          </reference>
          <reference field="4" count="1" selected="0">
            <x v="1"/>
          </reference>
          <reference field="5" count="1" selected="0">
            <x v="5"/>
          </reference>
          <reference field="8" count="1" selected="0">
            <x v="3"/>
          </reference>
          <reference field="10" count="1" selected="0">
            <x v="0"/>
          </reference>
          <reference field="12" count="1">
            <x v="12"/>
          </reference>
        </references>
      </pivotArea>
    </format>
    <format dxfId="123">
      <pivotArea dataOnly="0" labelOnly="1" outline="0" fieldPosition="0">
        <references count="6">
          <reference field="0" count="1" selected="0">
            <x v="50"/>
          </reference>
          <reference field="4" count="1" selected="0">
            <x v="1"/>
          </reference>
          <reference field="5" count="1" selected="0">
            <x v="5"/>
          </reference>
          <reference field="8" count="1" selected="0">
            <x v="3"/>
          </reference>
          <reference field="10" count="1" selected="0">
            <x v="0"/>
          </reference>
          <reference field="12" count="1">
            <x v="18"/>
          </reference>
        </references>
      </pivotArea>
    </format>
    <format dxfId="122">
      <pivotArea dataOnly="0" labelOnly="1" outline="0" fieldPosition="0">
        <references count="6">
          <reference field="0" count="1" selected="0">
            <x v="52"/>
          </reference>
          <reference field="4" count="1" selected="0">
            <x v="1"/>
          </reference>
          <reference field="5" count="1" selected="0">
            <x v="6"/>
          </reference>
          <reference field="8" count="1" selected="0">
            <x v="12"/>
          </reference>
          <reference field="10" count="1" selected="0">
            <x v="0"/>
          </reference>
          <reference field="12" count="1">
            <x v="28"/>
          </reference>
        </references>
      </pivotArea>
    </format>
    <format dxfId="121">
      <pivotArea dataOnly="0" labelOnly="1" outline="0" fieldPosition="0">
        <references count="6">
          <reference field="0" count="1" selected="0">
            <x v="53"/>
          </reference>
          <reference field="4" count="1" selected="0">
            <x v="1"/>
          </reference>
          <reference field="5" count="1" selected="0">
            <x v="6"/>
          </reference>
          <reference field="8" count="1" selected="0">
            <x v="12"/>
          </reference>
          <reference field="10" count="1" selected="0">
            <x v="0"/>
          </reference>
          <reference field="12" count="1">
            <x v="32"/>
          </reference>
        </references>
      </pivotArea>
    </format>
    <format dxfId="120">
      <pivotArea dataOnly="0" labelOnly="1" outline="0" fieldPosition="0">
        <references count="6">
          <reference field="0" count="1" selected="0">
            <x v="54"/>
          </reference>
          <reference field="4" count="1" selected="0">
            <x v="1"/>
          </reference>
          <reference field="5" count="1" selected="0">
            <x v="6"/>
          </reference>
          <reference field="8" count="1" selected="0">
            <x v="12"/>
          </reference>
          <reference field="10" count="1" selected="0">
            <x v="0"/>
          </reference>
          <reference field="12" count="1">
            <x v="26"/>
          </reference>
        </references>
      </pivotArea>
    </format>
    <format dxfId="119">
      <pivotArea dataOnly="0" labelOnly="1" outline="0" fieldPosition="0">
        <references count="6">
          <reference field="0" count="1" selected="0">
            <x v="58"/>
          </reference>
          <reference field="4" count="1" selected="0">
            <x v="1"/>
          </reference>
          <reference field="5" count="1" selected="0">
            <x v="6"/>
          </reference>
          <reference field="8" count="1" selected="0">
            <x v="13"/>
          </reference>
          <reference field="10" count="1" selected="0">
            <x v="0"/>
          </reference>
          <reference field="12" count="1">
            <x v="21"/>
          </reference>
        </references>
      </pivotArea>
    </format>
    <format dxfId="118">
      <pivotArea dataOnly="0" labelOnly="1" outline="0" fieldPosition="0">
        <references count="6">
          <reference field="0" count="1" selected="0">
            <x v="64"/>
          </reference>
          <reference field="4" count="1" selected="0">
            <x v="1"/>
          </reference>
          <reference field="5" count="1" selected="0">
            <x v="6"/>
          </reference>
          <reference field="8" count="1" selected="0">
            <x v="3"/>
          </reference>
          <reference field="10" count="1" selected="0">
            <x v="0"/>
          </reference>
          <reference field="12" count="1">
            <x v="18"/>
          </reference>
        </references>
      </pivotArea>
    </format>
    <format dxfId="117">
      <pivotArea dataOnly="0" labelOnly="1" outline="0" fieldPosition="0">
        <references count="6">
          <reference field="0" count="1" selected="0">
            <x v="65"/>
          </reference>
          <reference field="4" count="1" selected="0">
            <x v="1"/>
          </reference>
          <reference field="5" count="1" selected="0">
            <x v="6"/>
          </reference>
          <reference field="8" count="1" selected="0">
            <x v="7"/>
          </reference>
          <reference field="10" count="1" selected="0">
            <x v="0"/>
          </reference>
          <reference field="12" count="3">
            <x v="0"/>
            <x v="1"/>
            <x v="2"/>
          </reference>
        </references>
      </pivotArea>
    </format>
    <format dxfId="116">
      <pivotArea dataOnly="0" labelOnly="1" outline="0" fieldPosition="0">
        <references count="6">
          <reference field="0" count="1" selected="0">
            <x v="67"/>
          </reference>
          <reference field="4" count="1" selected="0">
            <x v="0"/>
          </reference>
          <reference field="5" count="1" selected="0">
            <x v="7"/>
          </reference>
          <reference field="8" count="1" selected="0">
            <x v="2"/>
          </reference>
          <reference field="10" count="1" selected="0">
            <x v="0"/>
          </reference>
          <reference field="12" count="1">
            <x v="25"/>
          </reference>
        </references>
      </pivotArea>
    </format>
    <format dxfId="115">
      <pivotArea dataOnly="0" labelOnly="1" outline="0" fieldPosition="0">
        <references count="6">
          <reference field="0" count="1" selected="0">
            <x v="68"/>
          </reference>
          <reference field="4" count="1" selected="0">
            <x v="0"/>
          </reference>
          <reference field="5" count="1" selected="0">
            <x v="7"/>
          </reference>
          <reference field="8" count="1" selected="0">
            <x v="2"/>
          </reference>
          <reference field="10" count="1" selected="0">
            <x v="0"/>
          </reference>
          <reference field="12" count="1">
            <x v="42"/>
          </reference>
        </references>
      </pivotArea>
    </format>
    <format dxfId="114">
      <pivotArea dataOnly="0" labelOnly="1" outline="0" fieldPosition="0">
        <references count="6">
          <reference field="0" count="1" selected="0">
            <x v="69"/>
          </reference>
          <reference field="4" count="1" selected="0">
            <x v="0"/>
          </reference>
          <reference field="5" count="1" selected="0">
            <x v="7"/>
          </reference>
          <reference field="8" count="1" selected="0">
            <x v="2"/>
          </reference>
          <reference field="10" count="1" selected="0">
            <x v="0"/>
          </reference>
          <reference field="12" count="1">
            <x v="25"/>
          </reference>
        </references>
      </pivotArea>
    </format>
    <format dxfId="113">
      <pivotArea dataOnly="0" labelOnly="1" outline="0" fieldPosition="0">
        <references count="6">
          <reference field="0" count="1" selected="0">
            <x v="70"/>
          </reference>
          <reference field="4" count="1" selected="0">
            <x v="0"/>
          </reference>
          <reference field="5" count="1" selected="0">
            <x v="8"/>
          </reference>
          <reference field="8" count="1" selected="0">
            <x v="2"/>
          </reference>
          <reference field="10" count="1" selected="0">
            <x v="0"/>
          </reference>
          <reference field="12" count="1">
            <x v="8"/>
          </reference>
        </references>
      </pivotArea>
    </format>
    <format dxfId="112">
      <pivotArea dataOnly="0" labelOnly="1" outline="0" fieldPosition="0">
        <references count="6">
          <reference field="0" count="1" selected="0">
            <x v="71"/>
          </reference>
          <reference field="4" count="1" selected="0">
            <x v="0"/>
          </reference>
          <reference field="5" count="1" selected="0">
            <x v="8"/>
          </reference>
          <reference field="8" count="1" selected="0">
            <x v="2"/>
          </reference>
          <reference field="10" count="1" selected="0">
            <x v="0"/>
          </reference>
          <reference field="12" count="1">
            <x v="20"/>
          </reference>
        </references>
      </pivotArea>
    </format>
    <format dxfId="111">
      <pivotArea dataOnly="0" labelOnly="1" outline="0" fieldPosition="0">
        <references count="6">
          <reference field="0" count="1" selected="0">
            <x v="72"/>
          </reference>
          <reference field="4" count="1" selected="0">
            <x v="0"/>
          </reference>
          <reference field="5" count="1" selected="0">
            <x v="8"/>
          </reference>
          <reference field="8" count="1" selected="0">
            <x v="2"/>
          </reference>
          <reference field="10" count="1" selected="0">
            <x v="0"/>
          </reference>
          <reference field="12" count="1">
            <x v="27"/>
          </reference>
        </references>
      </pivotArea>
    </format>
    <format dxfId="110">
      <pivotArea dataOnly="0" labelOnly="1" outline="0" fieldPosition="0">
        <references count="6">
          <reference field="0" count="1" selected="0">
            <x v="0"/>
          </reference>
          <reference field="4" count="1" selected="0">
            <x v="0"/>
          </reference>
          <reference field="5" count="1" selected="0">
            <x v="9"/>
          </reference>
          <reference field="8" count="1" selected="0">
            <x v="2"/>
          </reference>
          <reference field="10" count="1" selected="0">
            <x v="0"/>
          </reference>
          <reference field="12" count="1">
            <x v="5"/>
          </reference>
        </references>
      </pivotArea>
    </format>
    <format dxfId="109">
      <pivotArea dataOnly="0" labelOnly="1" outline="0" fieldPosition="0">
        <references count="6">
          <reference field="0" count="1" selected="0">
            <x v="1"/>
          </reference>
          <reference field="4" count="1" selected="0">
            <x v="0"/>
          </reference>
          <reference field="5" count="1" selected="0">
            <x v="9"/>
          </reference>
          <reference field="8" count="1" selected="0">
            <x v="2"/>
          </reference>
          <reference field="10" count="1" selected="0">
            <x v="0"/>
          </reference>
          <reference field="12" count="1">
            <x v="31"/>
          </reference>
        </references>
      </pivotArea>
    </format>
    <format dxfId="108">
      <pivotArea dataOnly="0" labelOnly="1" outline="0" fieldPosition="0">
        <references count="6">
          <reference field="0" count="1" selected="0">
            <x v="2"/>
          </reference>
          <reference field="4" count="1" selected="0">
            <x v="0"/>
          </reference>
          <reference field="5" count="1" selected="0">
            <x v="9"/>
          </reference>
          <reference field="8" count="1" selected="0">
            <x v="2"/>
          </reference>
          <reference field="10" count="1" selected="0">
            <x v="0"/>
          </reference>
          <reference field="12" count="1">
            <x v="18"/>
          </reference>
        </references>
      </pivotArea>
    </format>
    <format dxfId="107">
      <pivotArea dataOnly="0" labelOnly="1" outline="0" fieldPosition="0">
        <references count="6">
          <reference field="0" count="1" selected="0">
            <x v="3"/>
          </reference>
          <reference field="4" count="1" selected="0">
            <x v="0"/>
          </reference>
          <reference field="5" count="1" selected="0">
            <x v="10"/>
          </reference>
          <reference field="8" count="1" selected="0">
            <x v="2"/>
          </reference>
          <reference field="10" count="1" selected="0">
            <x v="0"/>
          </reference>
          <reference field="12" count="1">
            <x v="29"/>
          </reference>
        </references>
      </pivotArea>
    </format>
    <format dxfId="106">
      <pivotArea dataOnly="0" labelOnly="1" outline="0" fieldPosition="0">
        <references count="6">
          <reference field="0" count="1" selected="0">
            <x v="6"/>
          </reference>
          <reference field="4" count="1" selected="0">
            <x v="0"/>
          </reference>
          <reference field="5" count="1" selected="0">
            <x v="11"/>
          </reference>
          <reference field="8" count="1" selected="0">
            <x v="2"/>
          </reference>
          <reference field="10" count="1" selected="0">
            <x v="0"/>
          </reference>
          <reference field="12" count="1">
            <x v="30"/>
          </reference>
        </references>
      </pivotArea>
    </format>
    <format dxfId="105">
      <pivotArea dataOnly="0" labelOnly="1" outline="0" fieldPosition="0">
        <references count="7">
          <reference field="0" count="1" selected="0">
            <x v="9"/>
          </reference>
          <reference field="4" count="1" selected="0">
            <x v="2"/>
          </reference>
          <reference field="5" count="1" selected="0">
            <x v="0"/>
          </reference>
          <reference field="8" count="1" selected="0">
            <x v="6"/>
          </reference>
          <reference field="10" count="1" selected="0">
            <x v="0"/>
          </reference>
          <reference field="11" count="1">
            <x v="2"/>
          </reference>
          <reference field="12" count="1" selected="0">
            <x v="16"/>
          </reference>
        </references>
      </pivotArea>
    </format>
    <format dxfId="104">
      <pivotArea dataOnly="0" labelOnly="1" outline="0" fieldPosition="0">
        <references count="7">
          <reference field="0" count="1" selected="0">
            <x v="11"/>
          </reference>
          <reference field="4" count="1" selected="0">
            <x v="2"/>
          </reference>
          <reference field="5" count="1" selected="0">
            <x v="0"/>
          </reference>
          <reference field="8" count="1" selected="0">
            <x v="7"/>
          </reference>
          <reference field="10" count="1" selected="0">
            <x v="0"/>
          </reference>
          <reference field="11" count="1">
            <x v="5"/>
          </reference>
          <reference field="12" count="1" selected="0">
            <x v="6"/>
          </reference>
        </references>
      </pivotArea>
    </format>
    <format dxfId="103">
      <pivotArea dataOnly="0" labelOnly="1" outline="0" fieldPosition="0">
        <references count="7">
          <reference field="0" count="1" selected="0">
            <x v="12"/>
          </reference>
          <reference field="4" count="1" selected="0">
            <x v="2"/>
          </reference>
          <reference field="5" count="1" selected="0">
            <x v="0"/>
          </reference>
          <reference field="8" count="1" selected="0">
            <x v="7"/>
          </reference>
          <reference field="10" count="1" selected="0">
            <x v="0"/>
          </reference>
          <reference field="11" count="1">
            <x v="0"/>
          </reference>
          <reference field="12" count="1" selected="0">
            <x v="0"/>
          </reference>
        </references>
      </pivotArea>
    </format>
    <format dxfId="102">
      <pivotArea dataOnly="0" labelOnly="1" outline="0" fieldPosition="0">
        <references count="7">
          <reference field="0" count="1" selected="0">
            <x v="13"/>
          </reference>
          <reference field="4" count="1" selected="0">
            <x v="2"/>
          </reference>
          <reference field="5" count="1" selected="0">
            <x v="0"/>
          </reference>
          <reference field="8" count="1" selected="0">
            <x v="6"/>
          </reference>
          <reference field="10" count="1" selected="0">
            <x v="0"/>
          </reference>
          <reference field="11" count="1">
            <x v="1"/>
          </reference>
          <reference field="12" count="1" selected="0">
            <x v="3"/>
          </reference>
        </references>
      </pivotArea>
    </format>
    <format dxfId="101">
      <pivotArea dataOnly="0" labelOnly="1" outline="0" fieldPosition="0">
        <references count="7">
          <reference field="0" count="1" selected="0">
            <x v="14"/>
          </reference>
          <reference field="4" count="1" selected="0">
            <x v="2"/>
          </reference>
          <reference field="5" count="1" selected="0">
            <x v="0"/>
          </reference>
          <reference field="8" count="1" selected="0">
            <x v="6"/>
          </reference>
          <reference field="10" count="1" selected="0">
            <x v="0"/>
          </reference>
          <reference field="11" count="1">
            <x v="5"/>
          </reference>
          <reference field="12" count="1" selected="0">
            <x v="37"/>
          </reference>
        </references>
      </pivotArea>
    </format>
    <format dxfId="100">
      <pivotArea dataOnly="0" labelOnly="1" outline="0" fieldPosition="0">
        <references count="7">
          <reference field="0" count="1" selected="0">
            <x v="14"/>
          </reference>
          <reference field="4" count="1" selected="0">
            <x v="2"/>
          </reference>
          <reference field="5" count="1" selected="0">
            <x v="0"/>
          </reference>
          <reference field="8" count="1" selected="0">
            <x v="6"/>
          </reference>
          <reference field="10" count="1" selected="0">
            <x v="0"/>
          </reference>
          <reference field="11" count="1">
            <x v="1"/>
          </reference>
          <reference field="12" count="1" selected="0">
            <x v="38"/>
          </reference>
        </references>
      </pivotArea>
    </format>
    <format dxfId="99">
      <pivotArea dataOnly="0" labelOnly="1" outline="0" fieldPosition="0">
        <references count="7">
          <reference field="0" count="1" selected="0">
            <x v="15"/>
          </reference>
          <reference field="4" count="1" selected="0">
            <x v="2"/>
          </reference>
          <reference field="5" count="1" selected="0">
            <x v="1"/>
          </reference>
          <reference field="8" count="1" selected="0">
            <x v="12"/>
          </reference>
          <reference field="10" count="1" selected="0">
            <x v="0"/>
          </reference>
          <reference field="11" count="1">
            <x v="0"/>
          </reference>
          <reference field="12" count="1" selected="0">
            <x v="15"/>
          </reference>
        </references>
      </pivotArea>
    </format>
    <format dxfId="98">
      <pivotArea dataOnly="0" labelOnly="1" outline="0" fieldPosition="0">
        <references count="7">
          <reference field="0" count="1" selected="0">
            <x v="16"/>
          </reference>
          <reference field="4" count="1" selected="0">
            <x v="2"/>
          </reference>
          <reference field="5" count="1" selected="0">
            <x v="1"/>
          </reference>
          <reference field="8" count="1" selected="0">
            <x v="1"/>
          </reference>
          <reference field="10" count="1" selected="0">
            <x v="0"/>
          </reference>
          <reference field="11" count="1">
            <x v="7"/>
          </reference>
          <reference field="12" count="1" selected="0">
            <x v="33"/>
          </reference>
        </references>
      </pivotArea>
    </format>
    <format dxfId="97">
      <pivotArea dataOnly="0" labelOnly="1" outline="0" fieldPosition="0">
        <references count="7">
          <reference field="0" count="1" selected="0">
            <x v="18"/>
          </reference>
          <reference field="4" count="1" selected="0">
            <x v="2"/>
          </reference>
          <reference field="5" count="1" selected="0">
            <x v="1"/>
          </reference>
          <reference field="8" count="1" selected="0">
            <x v="7"/>
          </reference>
          <reference field="10" count="1" selected="0">
            <x v="0"/>
          </reference>
          <reference field="11" count="1">
            <x v="0"/>
          </reference>
          <reference field="12" count="1" selected="0">
            <x v="0"/>
          </reference>
        </references>
      </pivotArea>
    </format>
    <format dxfId="96">
      <pivotArea dataOnly="0" labelOnly="1" outline="0" fieldPosition="0">
        <references count="7">
          <reference field="0" count="1" selected="0">
            <x v="19"/>
          </reference>
          <reference field="4" count="1" selected="0">
            <x v="2"/>
          </reference>
          <reference field="5" count="1" selected="0">
            <x v="1"/>
          </reference>
          <reference field="8" count="1" selected="0">
            <x v="1"/>
          </reference>
          <reference field="10" count="1" selected="0">
            <x v="2"/>
          </reference>
          <reference field="11" count="1">
            <x v="7"/>
          </reference>
          <reference field="12" count="1" selected="0">
            <x v="34"/>
          </reference>
        </references>
      </pivotArea>
    </format>
    <format dxfId="95">
      <pivotArea dataOnly="0" labelOnly="1" outline="0" fieldPosition="0">
        <references count="7">
          <reference field="0" count="1" selected="0">
            <x v="21"/>
          </reference>
          <reference field="4" count="1" selected="0">
            <x v="2"/>
          </reference>
          <reference field="5" count="1" selected="0">
            <x v="2"/>
          </reference>
          <reference field="8" count="1" selected="0">
            <x v="6"/>
          </reference>
          <reference field="10" count="1" selected="0">
            <x v="0"/>
          </reference>
          <reference field="11" count="1">
            <x v="2"/>
          </reference>
          <reference field="12" count="1" selected="0">
            <x v="13"/>
          </reference>
        </references>
      </pivotArea>
    </format>
    <format dxfId="94">
      <pivotArea dataOnly="0" labelOnly="1" outline="0" fieldPosition="0">
        <references count="7">
          <reference field="0" count="1" selected="0">
            <x v="23"/>
          </reference>
          <reference field="4" count="1" selected="0">
            <x v="2"/>
          </reference>
          <reference field="5" count="1" selected="0">
            <x v="2"/>
          </reference>
          <reference field="8" count="1" selected="0">
            <x v="7"/>
          </reference>
          <reference field="10" count="1" selected="0">
            <x v="0"/>
          </reference>
          <reference field="11" count="1">
            <x v="5"/>
          </reference>
          <reference field="12" count="1" selected="0">
            <x v="7"/>
          </reference>
        </references>
      </pivotArea>
    </format>
    <format dxfId="93">
      <pivotArea dataOnly="0" labelOnly="1" outline="0" fieldPosition="0">
        <references count="7">
          <reference field="0" count="1" selected="0">
            <x v="24"/>
          </reference>
          <reference field="4" count="1" selected="0">
            <x v="2"/>
          </reference>
          <reference field="5" count="1" selected="0">
            <x v="2"/>
          </reference>
          <reference field="8" count="1" selected="0">
            <x v="7"/>
          </reference>
          <reference field="10" count="1" selected="0">
            <x v="0"/>
          </reference>
          <reference field="11" count="1">
            <x v="0"/>
          </reference>
          <reference field="12" count="1" selected="0">
            <x v="0"/>
          </reference>
        </references>
      </pivotArea>
    </format>
    <format dxfId="92">
      <pivotArea dataOnly="0" labelOnly="1" outline="0" fieldPosition="0">
        <references count="7">
          <reference field="0" count="1" selected="0">
            <x v="25"/>
          </reference>
          <reference field="4" count="1" selected="0">
            <x v="2"/>
          </reference>
          <reference field="5" count="1" selected="0">
            <x v="2"/>
          </reference>
          <reference field="8" count="1" selected="0">
            <x v="6"/>
          </reference>
          <reference field="10" count="1" selected="0">
            <x v="0"/>
          </reference>
          <reference field="11" count="1">
            <x v="1"/>
          </reference>
          <reference field="12" count="1" selected="0">
            <x v="3"/>
          </reference>
        </references>
      </pivotArea>
    </format>
    <format dxfId="91">
      <pivotArea dataOnly="0" labelOnly="1" outline="0" fieldPosition="0">
        <references count="7">
          <reference field="0" count="1" selected="0">
            <x v="26"/>
          </reference>
          <reference field="4" count="1" selected="0">
            <x v="2"/>
          </reference>
          <reference field="5" count="1" selected="0">
            <x v="2"/>
          </reference>
          <reference field="8" count="1" selected="0">
            <x v="1"/>
          </reference>
          <reference field="10" count="1" selected="0">
            <x v="0"/>
          </reference>
          <reference field="11" count="1">
            <x v="6"/>
          </reference>
          <reference field="12" count="1" selected="0">
            <x v="9"/>
          </reference>
        </references>
      </pivotArea>
    </format>
    <format dxfId="90">
      <pivotArea dataOnly="0" labelOnly="1" outline="0" fieldPosition="0">
        <references count="7">
          <reference field="0" count="1" selected="0">
            <x v="27"/>
          </reference>
          <reference field="4" count="1" selected="0">
            <x v="2"/>
          </reference>
          <reference field="5" count="1" selected="0">
            <x v="3"/>
          </reference>
          <reference field="8" count="1" selected="0">
            <x v="7"/>
          </reference>
          <reference field="10" count="1" selected="0">
            <x v="0"/>
          </reference>
          <reference field="11" count="1">
            <x v="1"/>
          </reference>
          <reference field="12" count="1" selected="0">
            <x v="22"/>
          </reference>
        </references>
      </pivotArea>
    </format>
    <format dxfId="89">
      <pivotArea dataOnly="0" labelOnly="1" outline="0" fieldPosition="0">
        <references count="7">
          <reference field="0" count="1" selected="0">
            <x v="28"/>
          </reference>
          <reference field="4" count="1" selected="0">
            <x v="2"/>
          </reference>
          <reference field="5" count="1" selected="0">
            <x v="3"/>
          </reference>
          <reference field="8" count="1" selected="0">
            <x v="6"/>
          </reference>
          <reference field="10" count="1" selected="0">
            <x v="0"/>
          </reference>
          <reference field="11" count="1">
            <x v="4"/>
          </reference>
          <reference field="12" count="1" selected="0">
            <x v="19"/>
          </reference>
        </references>
      </pivotArea>
    </format>
    <format dxfId="88">
      <pivotArea dataOnly="0" labelOnly="1" outline="0" fieldPosition="0">
        <references count="7">
          <reference field="0" count="1" selected="0">
            <x v="30"/>
          </reference>
          <reference field="4" count="1" selected="0">
            <x v="2"/>
          </reference>
          <reference field="5" count="1" selected="0">
            <x v="3"/>
          </reference>
          <reference field="8" count="1" selected="0">
            <x v="7"/>
          </reference>
          <reference field="10" count="1" selected="0">
            <x v="0"/>
          </reference>
          <reference field="11" count="1">
            <x v="0"/>
          </reference>
          <reference field="12" count="1" selected="0">
            <x v="1"/>
          </reference>
        </references>
      </pivotArea>
    </format>
    <format dxfId="87">
      <pivotArea dataOnly="0" labelOnly="1" outline="0" fieldPosition="0">
        <references count="7">
          <reference field="0" count="1" selected="0">
            <x v="31"/>
          </reference>
          <reference field="4" count="1" selected="0">
            <x v="2"/>
          </reference>
          <reference field="5" count="1" selected="0">
            <x v="3"/>
          </reference>
          <reference field="8" count="1" selected="0">
            <x v="1"/>
          </reference>
          <reference field="10" count="1" selected="0">
            <x v="0"/>
          </reference>
          <reference field="11" count="1">
            <x v="7"/>
          </reference>
          <reference field="12" count="1" selected="0">
            <x v="34"/>
          </reference>
        </references>
      </pivotArea>
    </format>
    <format dxfId="86">
      <pivotArea dataOnly="0" labelOnly="1" outline="0" fieldPosition="0">
        <references count="7">
          <reference field="0" count="1" selected="0">
            <x v="32"/>
          </reference>
          <reference field="4" count="1" selected="0">
            <x v="2"/>
          </reference>
          <reference field="5" count="1" selected="0">
            <x v="3"/>
          </reference>
          <reference field="8" count="1" selected="0">
            <x v="7"/>
          </reference>
          <reference field="10" count="1" selected="0">
            <x v="0"/>
          </reference>
          <reference field="11" count="1">
            <x v="0"/>
          </reference>
          <reference field="12" count="1" selected="0">
            <x v="1"/>
          </reference>
        </references>
      </pivotArea>
    </format>
    <format dxfId="85">
      <pivotArea dataOnly="0" labelOnly="1" outline="0" fieldPosition="0">
        <references count="7">
          <reference field="0" count="1" selected="0">
            <x v="33"/>
          </reference>
          <reference field="4" count="1" selected="0">
            <x v="1"/>
          </reference>
          <reference field="5" count="1" selected="0">
            <x v="4"/>
          </reference>
          <reference field="8" count="1" selected="0">
            <x v="8"/>
          </reference>
          <reference field="10" count="1" selected="0">
            <x v="0"/>
          </reference>
          <reference field="11" count="1">
            <x v="4"/>
          </reference>
          <reference field="12" count="1" selected="0">
            <x v="10"/>
          </reference>
        </references>
      </pivotArea>
    </format>
    <format dxfId="84">
      <pivotArea dataOnly="0" labelOnly="1" outline="0" fieldPosition="0">
        <references count="7">
          <reference field="0" count="1" selected="0">
            <x v="35"/>
          </reference>
          <reference field="4" count="1" selected="0">
            <x v="1"/>
          </reference>
          <reference field="5" count="1" selected="0">
            <x v="4"/>
          </reference>
          <reference field="8" count="1" selected="0">
            <x v="8"/>
          </reference>
          <reference field="10" count="1" selected="0">
            <x v="2"/>
          </reference>
          <reference field="11" count="1">
            <x v="7"/>
          </reference>
          <reference field="12" count="1" selected="0">
            <x v="39"/>
          </reference>
        </references>
      </pivotArea>
    </format>
    <format dxfId="83">
      <pivotArea dataOnly="0" labelOnly="1" outline="0" fieldPosition="0">
        <references count="7">
          <reference field="0" count="1" selected="0">
            <x v="38"/>
          </reference>
          <reference field="4" count="1" selected="0">
            <x v="1"/>
          </reference>
          <reference field="5" count="1" selected="0">
            <x v="4"/>
          </reference>
          <reference field="8" count="1" selected="0">
            <x v="7"/>
          </reference>
          <reference field="10" count="1" selected="0">
            <x v="0"/>
          </reference>
          <reference field="11" count="1">
            <x v="0"/>
          </reference>
          <reference field="12" count="1" selected="0">
            <x v="0"/>
          </reference>
        </references>
      </pivotArea>
    </format>
    <format dxfId="82">
      <pivotArea dataOnly="0" labelOnly="1" outline="0" fieldPosition="0">
        <references count="7">
          <reference field="0" count="1" selected="0">
            <x v="39"/>
          </reference>
          <reference field="4" count="1" selected="0">
            <x v="1"/>
          </reference>
          <reference field="5" count="1" selected="0">
            <x v="5"/>
          </reference>
          <reference field="8" count="1" selected="0">
            <x v="12"/>
          </reference>
          <reference field="10" count="1" selected="0">
            <x v="0"/>
          </reference>
          <reference field="11" count="1">
            <x v="1"/>
          </reference>
          <reference field="12" count="1" selected="0">
            <x v="24"/>
          </reference>
        </references>
      </pivotArea>
    </format>
    <format dxfId="81">
      <pivotArea dataOnly="0" labelOnly="1" outline="0" fieldPosition="0">
        <references count="7">
          <reference field="0" count="1" selected="0">
            <x v="49"/>
          </reference>
          <reference field="4" count="1" selected="0">
            <x v="1"/>
          </reference>
          <reference field="5" count="1" selected="0">
            <x v="5"/>
          </reference>
          <reference field="8" count="1" selected="0">
            <x v="3"/>
          </reference>
          <reference field="10" count="1" selected="0">
            <x v="0"/>
          </reference>
          <reference field="11" count="1">
            <x v="8"/>
          </reference>
          <reference field="12" count="1" selected="0">
            <x v="12"/>
          </reference>
        </references>
      </pivotArea>
    </format>
    <format dxfId="80">
      <pivotArea dataOnly="0" labelOnly="1" outline="0" fieldPosition="0">
        <references count="7">
          <reference field="0" count="1" selected="0">
            <x v="50"/>
          </reference>
          <reference field="4" count="1" selected="0">
            <x v="1"/>
          </reference>
          <reference field="5" count="1" selected="0">
            <x v="5"/>
          </reference>
          <reference field="8" count="1" selected="0">
            <x v="3"/>
          </reference>
          <reference field="10" count="1" selected="0">
            <x v="0"/>
          </reference>
          <reference field="11" count="1">
            <x v="4"/>
          </reference>
          <reference field="12" count="1" selected="0">
            <x v="18"/>
          </reference>
        </references>
      </pivotArea>
    </format>
    <format dxfId="79">
      <pivotArea dataOnly="0" labelOnly="1" outline="0" fieldPosition="0">
        <references count="7">
          <reference field="0" count="1" selected="0">
            <x v="52"/>
          </reference>
          <reference field="4" count="1" selected="0">
            <x v="1"/>
          </reference>
          <reference field="5" count="1" selected="0">
            <x v="6"/>
          </reference>
          <reference field="8" count="1" selected="0">
            <x v="12"/>
          </reference>
          <reference field="10" count="1" selected="0">
            <x v="0"/>
          </reference>
          <reference field="11" count="1">
            <x v="0"/>
          </reference>
          <reference field="12" count="1" selected="0">
            <x v="28"/>
          </reference>
        </references>
      </pivotArea>
    </format>
    <format dxfId="78">
      <pivotArea dataOnly="0" labelOnly="1" outline="0" fieldPosition="0">
        <references count="7">
          <reference field="0" count="1" selected="0">
            <x v="53"/>
          </reference>
          <reference field="4" count="1" selected="0">
            <x v="1"/>
          </reference>
          <reference field="5" count="1" selected="0">
            <x v="6"/>
          </reference>
          <reference field="8" count="1" selected="0">
            <x v="12"/>
          </reference>
          <reference field="10" count="1" selected="0">
            <x v="0"/>
          </reference>
          <reference field="11" count="1">
            <x v="2"/>
          </reference>
          <reference field="12" count="1" selected="0">
            <x v="32"/>
          </reference>
        </references>
      </pivotArea>
    </format>
    <format dxfId="77">
      <pivotArea dataOnly="0" labelOnly="1" outline="0" fieldPosition="0">
        <references count="7">
          <reference field="0" count="1" selected="0">
            <x v="54"/>
          </reference>
          <reference field="4" count="1" selected="0">
            <x v="1"/>
          </reference>
          <reference field="5" count="1" selected="0">
            <x v="6"/>
          </reference>
          <reference field="8" count="1" selected="0">
            <x v="12"/>
          </reference>
          <reference field="10" count="1" selected="0">
            <x v="0"/>
          </reference>
          <reference field="11" count="1">
            <x v="4"/>
          </reference>
          <reference field="12" count="1" selected="0">
            <x v="26"/>
          </reference>
        </references>
      </pivotArea>
    </format>
    <format dxfId="76">
      <pivotArea dataOnly="0" labelOnly="1" outline="0" fieldPosition="0">
        <references count="7">
          <reference field="0" count="1" selected="0">
            <x v="58"/>
          </reference>
          <reference field="4" count="1" selected="0">
            <x v="1"/>
          </reference>
          <reference field="5" count="1" selected="0">
            <x v="6"/>
          </reference>
          <reference field="8" count="1" selected="0">
            <x v="13"/>
          </reference>
          <reference field="10" count="1" selected="0">
            <x v="0"/>
          </reference>
          <reference field="11" count="1">
            <x v="1"/>
          </reference>
          <reference field="12" count="1" selected="0">
            <x v="21"/>
          </reference>
        </references>
      </pivotArea>
    </format>
    <format dxfId="75">
      <pivotArea dataOnly="0" labelOnly="1" outline="0" fieldPosition="0">
        <references count="7">
          <reference field="0" count="1" selected="0">
            <x v="64"/>
          </reference>
          <reference field="4" count="1" selected="0">
            <x v="1"/>
          </reference>
          <reference field="5" count="1" selected="0">
            <x v="6"/>
          </reference>
          <reference field="8" count="1" selected="0">
            <x v="3"/>
          </reference>
          <reference field="10" count="1" selected="0">
            <x v="0"/>
          </reference>
          <reference field="11" count="1">
            <x v="5"/>
          </reference>
          <reference field="12" count="1" selected="0">
            <x v="18"/>
          </reference>
        </references>
      </pivotArea>
    </format>
    <format dxfId="74">
      <pivotArea dataOnly="0" labelOnly="1" outline="0" fieldPosition="0">
        <references count="7">
          <reference field="0" count="1" selected="0">
            <x v="65"/>
          </reference>
          <reference field="4" count="1" selected="0">
            <x v="1"/>
          </reference>
          <reference field="5" count="1" selected="0">
            <x v="6"/>
          </reference>
          <reference field="8" count="1" selected="0">
            <x v="7"/>
          </reference>
          <reference field="10" count="1" selected="0">
            <x v="0"/>
          </reference>
          <reference field="11" count="1">
            <x v="0"/>
          </reference>
          <reference field="12" count="1" selected="0">
            <x v="0"/>
          </reference>
        </references>
      </pivotArea>
    </format>
    <format dxfId="73">
      <pivotArea dataOnly="0" labelOnly="1" outline="0" fieldPosition="0">
        <references count="7">
          <reference field="0" count="1" selected="0">
            <x v="67"/>
          </reference>
          <reference field="4" count="1" selected="0">
            <x v="0"/>
          </reference>
          <reference field="5" count="1" selected="0">
            <x v="7"/>
          </reference>
          <reference field="8" count="1" selected="0">
            <x v="2"/>
          </reference>
          <reference field="10" count="1" selected="0">
            <x v="0"/>
          </reference>
          <reference field="11" count="1">
            <x v="0"/>
          </reference>
          <reference field="12" count="1" selected="0">
            <x v="25"/>
          </reference>
        </references>
      </pivotArea>
    </format>
    <format dxfId="72">
      <pivotArea dataOnly="0" labelOnly="1" outline="0" fieldPosition="0">
        <references count="7">
          <reference field="0" count="1" selected="0">
            <x v="68"/>
          </reference>
          <reference field="4" count="1" selected="0">
            <x v="0"/>
          </reference>
          <reference field="5" count="1" selected="0">
            <x v="7"/>
          </reference>
          <reference field="8" count="1" selected="0">
            <x v="2"/>
          </reference>
          <reference field="10" count="1" selected="0">
            <x v="0"/>
          </reference>
          <reference field="11" count="1">
            <x v="1"/>
          </reference>
          <reference field="12" count="1" selected="0">
            <x v="42"/>
          </reference>
        </references>
      </pivotArea>
    </format>
    <format dxfId="71">
      <pivotArea dataOnly="0" labelOnly="1" outline="0" fieldPosition="0">
        <references count="7">
          <reference field="0" count="1" selected="0">
            <x v="69"/>
          </reference>
          <reference field="4" count="1" selected="0">
            <x v="0"/>
          </reference>
          <reference field="5" count="1" selected="0">
            <x v="7"/>
          </reference>
          <reference field="8" count="1" selected="0">
            <x v="2"/>
          </reference>
          <reference field="10" count="1" selected="0">
            <x v="0"/>
          </reference>
          <reference field="11" count="1">
            <x v="0"/>
          </reference>
          <reference field="12" count="1" selected="0">
            <x v="25"/>
          </reference>
        </references>
      </pivotArea>
    </format>
    <format dxfId="70">
      <pivotArea dataOnly="0" labelOnly="1" outline="0" fieldPosition="0">
        <references count="7">
          <reference field="0" count="1" selected="0">
            <x v="70"/>
          </reference>
          <reference field="4" count="1" selected="0">
            <x v="0"/>
          </reference>
          <reference field="5" count="1" selected="0">
            <x v="8"/>
          </reference>
          <reference field="8" count="1" selected="0">
            <x v="2"/>
          </reference>
          <reference field="10" count="1" selected="0">
            <x v="0"/>
          </reference>
          <reference field="11" count="1">
            <x v="0"/>
          </reference>
          <reference field="12" count="1" selected="0">
            <x v="8"/>
          </reference>
        </references>
      </pivotArea>
    </format>
    <format dxfId="69">
      <pivotArea dataOnly="0" labelOnly="1" outline="0" fieldPosition="0">
        <references count="7">
          <reference field="0" count="1" selected="0">
            <x v="71"/>
          </reference>
          <reference field="4" count="1" selected="0">
            <x v="0"/>
          </reference>
          <reference field="5" count="1" selected="0">
            <x v="8"/>
          </reference>
          <reference field="8" count="1" selected="0">
            <x v="2"/>
          </reference>
          <reference field="10" count="1" selected="0">
            <x v="0"/>
          </reference>
          <reference field="11" count="1">
            <x v="5"/>
          </reference>
          <reference field="12" count="1" selected="0">
            <x v="20"/>
          </reference>
        </references>
      </pivotArea>
    </format>
    <format dxfId="68">
      <pivotArea dataOnly="0" labelOnly="1" outline="0" fieldPosition="0">
        <references count="7">
          <reference field="0" count="1" selected="0">
            <x v="72"/>
          </reference>
          <reference field="4" count="1" selected="0">
            <x v="0"/>
          </reference>
          <reference field="5" count="1" selected="0">
            <x v="8"/>
          </reference>
          <reference field="8" count="1" selected="0">
            <x v="2"/>
          </reference>
          <reference field="10" count="1" selected="0">
            <x v="0"/>
          </reference>
          <reference field="11" count="1">
            <x v="0"/>
          </reference>
          <reference field="12" count="1" selected="0">
            <x v="27"/>
          </reference>
        </references>
      </pivotArea>
    </format>
    <format dxfId="67">
      <pivotArea dataOnly="0" labelOnly="1" outline="0" fieldPosition="0">
        <references count="7">
          <reference field="0" count="1" selected="0">
            <x v="0"/>
          </reference>
          <reference field="4" count="1" selected="0">
            <x v="0"/>
          </reference>
          <reference field="5" count="1" selected="0">
            <x v="9"/>
          </reference>
          <reference field="8" count="1" selected="0">
            <x v="2"/>
          </reference>
          <reference field="10" count="1" selected="0">
            <x v="0"/>
          </reference>
          <reference field="11" count="1">
            <x v="0"/>
          </reference>
          <reference field="12" count="1" selected="0">
            <x v="5"/>
          </reference>
        </references>
      </pivotArea>
    </format>
    <format dxfId="66">
      <pivotArea dataOnly="0" labelOnly="1" outline="0" fieldPosition="0">
        <references count="7">
          <reference field="0" count="1" selected="0">
            <x v="1"/>
          </reference>
          <reference field="4" count="1" selected="0">
            <x v="0"/>
          </reference>
          <reference field="5" count="1" selected="0">
            <x v="9"/>
          </reference>
          <reference field="8" count="1" selected="0">
            <x v="2"/>
          </reference>
          <reference field="10" count="1" selected="0">
            <x v="0"/>
          </reference>
          <reference field="11" count="1">
            <x v="3"/>
          </reference>
          <reference field="12" count="1" selected="0">
            <x v="31"/>
          </reference>
        </references>
      </pivotArea>
    </format>
    <format dxfId="65">
      <pivotArea dataOnly="0" labelOnly="1" outline="0" fieldPosition="0">
        <references count="7">
          <reference field="0" count="1" selected="0">
            <x v="3"/>
          </reference>
          <reference field="4" count="1" selected="0">
            <x v="0"/>
          </reference>
          <reference field="5" count="1" selected="0">
            <x v="10"/>
          </reference>
          <reference field="8" count="1" selected="0">
            <x v="2"/>
          </reference>
          <reference field="10" count="1" selected="0">
            <x v="0"/>
          </reference>
          <reference field="11" count="1">
            <x v="3"/>
          </reference>
          <reference field="12" count="1" selected="0">
            <x v="29"/>
          </reference>
        </references>
      </pivotArea>
    </format>
    <format dxfId="64">
      <pivotArea dataOnly="0" labelOnly="1" outline="0" fieldPosition="0">
        <references count="7">
          <reference field="0" count="1" selected="0">
            <x v="6"/>
          </reference>
          <reference field="4" count="1" selected="0">
            <x v="0"/>
          </reference>
          <reference field="5" count="1" selected="0">
            <x v="11"/>
          </reference>
          <reference field="8" count="1" selected="0">
            <x v="2"/>
          </reference>
          <reference field="10" count="1" selected="0">
            <x v="0"/>
          </reference>
          <reference field="11" count="1">
            <x v="3"/>
          </reference>
          <reference field="12" count="1" selected="0">
            <x v="30"/>
          </reference>
        </references>
      </pivotArea>
    </format>
    <format dxfId="63">
      <pivotArea dataOnly="0" labelOnly="1" outline="0" fieldPosition="0">
        <references count="8">
          <reference field="0" count="1" selected="0">
            <x v="9"/>
          </reference>
          <reference field="4" count="1" selected="0">
            <x v="2"/>
          </reference>
          <reference field="5" count="1" selected="0">
            <x v="0"/>
          </reference>
          <reference field="8" count="1" selected="0">
            <x v="6"/>
          </reference>
          <reference field="10" count="1" selected="0">
            <x v="0"/>
          </reference>
          <reference field="11" count="1" selected="0">
            <x v="2"/>
          </reference>
          <reference field="12" count="1" selected="0">
            <x v="16"/>
          </reference>
          <reference field="13" count="1">
            <x v="5"/>
          </reference>
        </references>
      </pivotArea>
    </format>
    <format dxfId="62">
      <pivotArea dataOnly="0" labelOnly="1" outline="0" fieldPosition="0">
        <references count="8">
          <reference field="0" count="1" selected="0">
            <x v="10"/>
          </reference>
          <reference field="4" count="1" selected="0">
            <x v="2"/>
          </reference>
          <reference field="5" count="1" selected="0">
            <x v="0"/>
          </reference>
          <reference field="8" count="1" selected="0">
            <x v="6"/>
          </reference>
          <reference field="10" count="1" selected="0">
            <x v="0"/>
          </reference>
          <reference field="11" count="1" selected="0">
            <x v="2"/>
          </reference>
          <reference field="12" count="1" selected="0">
            <x v="36"/>
          </reference>
          <reference field="13" count="1">
            <x v="37"/>
          </reference>
        </references>
      </pivotArea>
    </format>
    <format dxfId="61">
      <pivotArea dataOnly="0" labelOnly="1" outline="0" fieldPosition="0">
        <references count="8">
          <reference field="0" count="1" selected="0">
            <x v="11"/>
          </reference>
          <reference field="4" count="1" selected="0">
            <x v="2"/>
          </reference>
          <reference field="5" count="1" selected="0">
            <x v="0"/>
          </reference>
          <reference field="8" count="1" selected="0">
            <x v="7"/>
          </reference>
          <reference field="10" count="1" selected="0">
            <x v="0"/>
          </reference>
          <reference field="11" count="1" selected="0">
            <x v="5"/>
          </reference>
          <reference field="12" count="1" selected="0">
            <x v="6"/>
          </reference>
          <reference field="13" count="1">
            <x v="33"/>
          </reference>
        </references>
      </pivotArea>
    </format>
    <format dxfId="60">
      <pivotArea dataOnly="0" labelOnly="1" outline="0" fieldPosition="0">
        <references count="8">
          <reference field="0" count="1" selected="0">
            <x v="12"/>
          </reference>
          <reference field="4" count="1" selected="0">
            <x v="2"/>
          </reference>
          <reference field="5" count="1" selected="0">
            <x v="0"/>
          </reference>
          <reference field="8" count="1" selected="0">
            <x v="7"/>
          </reference>
          <reference field="10" count="1" selected="0">
            <x v="0"/>
          </reference>
          <reference field="11" count="1" selected="0">
            <x v="0"/>
          </reference>
          <reference field="12" count="1" selected="0">
            <x v="0"/>
          </reference>
          <reference field="13" count="1">
            <x v="10"/>
          </reference>
        </references>
      </pivotArea>
    </format>
    <format dxfId="59">
      <pivotArea dataOnly="0" labelOnly="1" outline="0" fieldPosition="0">
        <references count="8">
          <reference field="0" count="1" selected="0">
            <x v="12"/>
          </reference>
          <reference field="4" count="1" selected="0">
            <x v="2"/>
          </reference>
          <reference field="5" count="1" selected="0">
            <x v="0"/>
          </reference>
          <reference field="8" count="1" selected="0">
            <x v="7"/>
          </reference>
          <reference field="10" count="1" selected="0">
            <x v="0"/>
          </reference>
          <reference field="11" count="1" selected="0">
            <x v="0"/>
          </reference>
          <reference field="12" count="1" selected="0">
            <x v="2"/>
          </reference>
          <reference field="13" count="1">
            <x v="3"/>
          </reference>
        </references>
      </pivotArea>
    </format>
    <format dxfId="58">
      <pivotArea dataOnly="0" labelOnly="1" outline="0" fieldPosition="0">
        <references count="8">
          <reference field="0" count="1" selected="0">
            <x v="12"/>
          </reference>
          <reference field="4" count="1" selected="0">
            <x v="2"/>
          </reference>
          <reference field="5" count="1" selected="0">
            <x v="0"/>
          </reference>
          <reference field="8" count="1" selected="0">
            <x v="7"/>
          </reference>
          <reference field="10" count="1" selected="0">
            <x v="0"/>
          </reference>
          <reference field="11" count="1" selected="0">
            <x v="0"/>
          </reference>
          <reference field="12" count="1" selected="0">
            <x v="5"/>
          </reference>
          <reference field="13" count="1">
            <x v="7"/>
          </reference>
        </references>
      </pivotArea>
    </format>
    <format dxfId="57">
      <pivotArea dataOnly="0" labelOnly="1" outline="0" fieldPosition="0">
        <references count="8">
          <reference field="0" count="1" selected="0">
            <x v="13"/>
          </reference>
          <reference field="4" count="1" selected="0">
            <x v="2"/>
          </reference>
          <reference field="5" count="1" selected="0">
            <x v="0"/>
          </reference>
          <reference field="8" count="1" selected="0">
            <x v="6"/>
          </reference>
          <reference field="10" count="1" selected="0">
            <x v="0"/>
          </reference>
          <reference field="11" count="1" selected="0">
            <x v="1"/>
          </reference>
          <reference field="12" count="1" selected="0">
            <x v="3"/>
          </reference>
          <reference field="13" count="1">
            <x v="16"/>
          </reference>
        </references>
      </pivotArea>
    </format>
    <format dxfId="56">
      <pivotArea dataOnly="0" labelOnly="1" outline="0" fieldPosition="0">
        <references count="8">
          <reference field="0" count="1" selected="0">
            <x v="14"/>
          </reference>
          <reference field="4" count="1" selected="0">
            <x v="2"/>
          </reference>
          <reference field="5" count="1" selected="0">
            <x v="0"/>
          </reference>
          <reference field="8" count="1" selected="0">
            <x v="6"/>
          </reference>
          <reference field="10" count="1" selected="0">
            <x v="0"/>
          </reference>
          <reference field="11" count="1" selected="0">
            <x v="5"/>
          </reference>
          <reference field="12" count="1" selected="0">
            <x v="37"/>
          </reference>
          <reference field="13" count="1">
            <x v="38"/>
          </reference>
        </references>
      </pivotArea>
    </format>
    <format dxfId="55">
      <pivotArea dataOnly="0" labelOnly="1" outline="0" fieldPosition="0">
        <references count="8">
          <reference field="0" count="1" selected="0">
            <x v="14"/>
          </reference>
          <reference field="4" count="1" selected="0">
            <x v="2"/>
          </reference>
          <reference field="5" count="1" selected="0">
            <x v="0"/>
          </reference>
          <reference field="8" count="1" selected="0">
            <x v="6"/>
          </reference>
          <reference field="10" count="1" selected="0">
            <x v="0"/>
          </reference>
          <reference field="11" count="1" selected="0">
            <x v="1"/>
          </reference>
          <reference field="12" count="1" selected="0">
            <x v="38"/>
          </reference>
          <reference field="13" count="1">
            <x v="39"/>
          </reference>
        </references>
      </pivotArea>
    </format>
    <format dxfId="54">
      <pivotArea dataOnly="0" labelOnly="1" outline="0" fieldPosition="0">
        <references count="8">
          <reference field="0" count="1" selected="0">
            <x v="15"/>
          </reference>
          <reference field="4" count="1" selected="0">
            <x v="2"/>
          </reference>
          <reference field="5" count="1" selected="0">
            <x v="1"/>
          </reference>
          <reference field="8" count="1" selected="0">
            <x v="12"/>
          </reference>
          <reference field="10" count="1" selected="0">
            <x v="0"/>
          </reference>
          <reference field="11" count="1" selected="0">
            <x v="0"/>
          </reference>
          <reference field="12" count="1" selected="0">
            <x v="15"/>
          </reference>
          <reference field="13" count="1">
            <x v="34"/>
          </reference>
        </references>
      </pivotArea>
    </format>
    <format dxfId="53">
      <pivotArea dataOnly="0" labelOnly="1" outline="0" fieldPosition="0">
        <references count="8">
          <reference field="0" count="1" selected="0">
            <x v="15"/>
          </reference>
          <reference field="4" count="1" selected="0">
            <x v="2"/>
          </reference>
          <reference field="5" count="1" selected="0">
            <x v="1"/>
          </reference>
          <reference field="8" count="1" selected="0">
            <x v="12"/>
          </reference>
          <reference field="10" count="1" selected="0">
            <x v="0"/>
          </reference>
          <reference field="11" count="1" selected="0">
            <x v="0"/>
          </reference>
          <reference field="12" count="1" selected="0">
            <x v="28"/>
          </reference>
          <reference field="13" count="1">
            <x v="32"/>
          </reference>
        </references>
      </pivotArea>
    </format>
    <format dxfId="52">
      <pivotArea dataOnly="0" labelOnly="1" outline="0" fieldPosition="0">
        <references count="8">
          <reference field="0" count="1" selected="0">
            <x v="16"/>
          </reference>
          <reference field="4" count="1" selected="0">
            <x v="2"/>
          </reference>
          <reference field="5" count="1" selected="0">
            <x v="1"/>
          </reference>
          <reference field="8" count="1" selected="0">
            <x v="1"/>
          </reference>
          <reference field="10" count="1" selected="0">
            <x v="0"/>
          </reference>
          <reference field="11" count="1" selected="0">
            <x v="7"/>
          </reference>
          <reference field="12" count="1" selected="0">
            <x v="33"/>
          </reference>
          <reference field="13" count="1">
            <x v="2"/>
          </reference>
        </references>
      </pivotArea>
    </format>
    <format dxfId="51">
      <pivotArea dataOnly="0" labelOnly="1" outline="0" fieldPosition="0">
        <references count="8">
          <reference field="0" count="1" selected="0">
            <x v="18"/>
          </reference>
          <reference field="4" count="1" selected="0">
            <x v="2"/>
          </reference>
          <reference field="5" count="1" selected="0">
            <x v="1"/>
          </reference>
          <reference field="8" count="1" selected="0">
            <x v="7"/>
          </reference>
          <reference field="10" count="1" selected="0">
            <x v="0"/>
          </reference>
          <reference field="11" count="1" selected="0">
            <x v="0"/>
          </reference>
          <reference field="12" count="1" selected="0">
            <x v="0"/>
          </reference>
          <reference field="13" count="1">
            <x v="10"/>
          </reference>
        </references>
      </pivotArea>
    </format>
    <format dxfId="50">
      <pivotArea dataOnly="0" labelOnly="1" outline="0" fieldPosition="0">
        <references count="8">
          <reference field="0" count="1" selected="0">
            <x v="18"/>
          </reference>
          <reference field="4" count="1" selected="0">
            <x v="2"/>
          </reference>
          <reference field="5" count="1" selected="0">
            <x v="1"/>
          </reference>
          <reference field="8" count="1" selected="0">
            <x v="7"/>
          </reference>
          <reference field="10" count="1" selected="0">
            <x v="0"/>
          </reference>
          <reference field="11" count="1" selected="0">
            <x v="0"/>
          </reference>
          <reference field="12" count="1" selected="0">
            <x v="40"/>
          </reference>
          <reference field="13" count="1">
            <x v="42"/>
          </reference>
        </references>
      </pivotArea>
    </format>
    <format dxfId="49">
      <pivotArea dataOnly="0" labelOnly="1" outline="0" fieldPosition="0">
        <references count="8">
          <reference field="0" count="1" selected="0">
            <x v="19"/>
          </reference>
          <reference field="4" count="1" selected="0">
            <x v="2"/>
          </reference>
          <reference field="5" count="1" selected="0">
            <x v="1"/>
          </reference>
          <reference field="8" count="1" selected="0">
            <x v="1"/>
          </reference>
          <reference field="10" count="1" selected="0">
            <x v="2"/>
          </reference>
          <reference field="11" count="1" selected="0">
            <x v="7"/>
          </reference>
          <reference field="12" count="1" selected="0">
            <x v="34"/>
          </reference>
          <reference field="13" count="1">
            <x v="18"/>
          </reference>
        </references>
      </pivotArea>
    </format>
    <format dxfId="48">
      <pivotArea dataOnly="0" labelOnly="1" outline="0" fieldPosition="0">
        <references count="8">
          <reference field="0" count="1" selected="0">
            <x v="21"/>
          </reference>
          <reference field="4" count="1" selected="0">
            <x v="2"/>
          </reference>
          <reference field="5" count="1" selected="0">
            <x v="2"/>
          </reference>
          <reference field="8" count="1" selected="0">
            <x v="6"/>
          </reference>
          <reference field="10" count="1" selected="0">
            <x v="0"/>
          </reference>
          <reference field="11" count="1" selected="0">
            <x v="2"/>
          </reference>
          <reference field="12" count="1" selected="0">
            <x v="13"/>
          </reference>
          <reference field="13" count="1">
            <x v="4"/>
          </reference>
        </references>
      </pivotArea>
    </format>
    <format dxfId="47">
      <pivotArea dataOnly="0" labelOnly="1" outline="0" fieldPosition="0">
        <references count="8">
          <reference field="0" count="1" selected="0">
            <x v="22"/>
          </reference>
          <reference field="4" count="1" selected="0">
            <x v="2"/>
          </reference>
          <reference field="5" count="1" selected="0">
            <x v="2"/>
          </reference>
          <reference field="8" count="1" selected="0">
            <x v="6"/>
          </reference>
          <reference field="10" count="1" selected="0">
            <x v="0"/>
          </reference>
          <reference field="11" count="1" selected="0">
            <x v="2"/>
          </reference>
          <reference field="12" count="1" selected="0">
            <x v="17"/>
          </reference>
          <reference field="13" count="1">
            <x v="20"/>
          </reference>
        </references>
      </pivotArea>
    </format>
    <format dxfId="46">
      <pivotArea dataOnly="0" labelOnly="1" outline="0" fieldPosition="0">
        <references count="8">
          <reference field="0" count="1" selected="0">
            <x v="23"/>
          </reference>
          <reference field="4" count="1" selected="0">
            <x v="2"/>
          </reference>
          <reference field="5" count="1" selected="0">
            <x v="2"/>
          </reference>
          <reference field="8" count="1" selected="0">
            <x v="7"/>
          </reference>
          <reference field="10" count="1" selected="0">
            <x v="0"/>
          </reference>
          <reference field="11" count="1" selected="0">
            <x v="5"/>
          </reference>
          <reference field="12" count="1" selected="0">
            <x v="7"/>
          </reference>
          <reference field="13" count="1">
            <x v="15"/>
          </reference>
        </references>
      </pivotArea>
    </format>
    <format dxfId="45">
      <pivotArea dataOnly="0" labelOnly="1" outline="0" fieldPosition="0">
        <references count="8">
          <reference field="0" count="1" selected="0">
            <x v="24"/>
          </reference>
          <reference field="4" count="1" selected="0">
            <x v="2"/>
          </reference>
          <reference field="5" count="1" selected="0">
            <x v="2"/>
          </reference>
          <reference field="8" count="1" selected="0">
            <x v="7"/>
          </reference>
          <reference field="10" count="1" selected="0">
            <x v="0"/>
          </reference>
          <reference field="11" count="1" selected="0">
            <x v="0"/>
          </reference>
          <reference field="12" count="1" selected="0">
            <x v="0"/>
          </reference>
          <reference field="13" count="1">
            <x v="10"/>
          </reference>
        </references>
      </pivotArea>
    </format>
    <format dxfId="44">
      <pivotArea dataOnly="0" labelOnly="1" outline="0" fieldPosition="0">
        <references count="8">
          <reference field="0" count="1" selected="0">
            <x v="24"/>
          </reference>
          <reference field="4" count="1" selected="0">
            <x v="2"/>
          </reference>
          <reference field="5" count="1" selected="0">
            <x v="2"/>
          </reference>
          <reference field="8" count="1" selected="0">
            <x v="7"/>
          </reference>
          <reference field="10" count="1" selected="0">
            <x v="0"/>
          </reference>
          <reference field="11" count="1" selected="0">
            <x v="0"/>
          </reference>
          <reference field="12" count="1" selected="0">
            <x v="2"/>
          </reference>
          <reference field="13" count="1">
            <x v="3"/>
          </reference>
        </references>
      </pivotArea>
    </format>
    <format dxfId="43">
      <pivotArea dataOnly="0" labelOnly="1" outline="0" fieldPosition="0">
        <references count="8">
          <reference field="0" count="1" selected="0">
            <x v="24"/>
          </reference>
          <reference field="4" count="1" selected="0">
            <x v="2"/>
          </reference>
          <reference field="5" count="1" selected="0">
            <x v="2"/>
          </reference>
          <reference field="8" count="1" selected="0">
            <x v="7"/>
          </reference>
          <reference field="10" count="1" selected="0">
            <x v="0"/>
          </reference>
          <reference field="11" count="1" selected="0">
            <x v="0"/>
          </reference>
          <reference field="12" count="1" selected="0">
            <x v="41"/>
          </reference>
          <reference field="13" count="1">
            <x v="43"/>
          </reference>
        </references>
      </pivotArea>
    </format>
    <format dxfId="42">
      <pivotArea dataOnly="0" labelOnly="1" outline="0" fieldPosition="0">
        <references count="8">
          <reference field="0" count="1" selected="0">
            <x v="25"/>
          </reference>
          <reference field="4" count="1" selected="0">
            <x v="2"/>
          </reference>
          <reference field="5" count="1" selected="0">
            <x v="2"/>
          </reference>
          <reference field="8" count="1" selected="0">
            <x v="6"/>
          </reference>
          <reference field="10" count="1" selected="0">
            <x v="0"/>
          </reference>
          <reference field="11" count="1" selected="0">
            <x v="1"/>
          </reference>
          <reference field="12" count="1" selected="0">
            <x v="3"/>
          </reference>
          <reference field="13" count="1">
            <x v="16"/>
          </reference>
        </references>
      </pivotArea>
    </format>
    <format dxfId="41">
      <pivotArea dataOnly="0" labelOnly="1" outline="0" fieldPosition="0">
        <references count="8">
          <reference field="0" count="1" selected="0">
            <x v="26"/>
          </reference>
          <reference field="4" count="1" selected="0">
            <x v="2"/>
          </reference>
          <reference field="5" count="1" selected="0">
            <x v="2"/>
          </reference>
          <reference field="8" count="1" selected="0">
            <x v="1"/>
          </reference>
          <reference field="10" count="1" selected="0">
            <x v="0"/>
          </reference>
          <reference field="11" count="1" selected="0">
            <x v="6"/>
          </reference>
          <reference field="12" count="1" selected="0">
            <x v="9"/>
          </reference>
          <reference field="13" count="1">
            <x v="26"/>
          </reference>
        </references>
      </pivotArea>
    </format>
    <format dxfId="40">
      <pivotArea dataOnly="0" labelOnly="1" outline="0" fieldPosition="0">
        <references count="8">
          <reference field="0" count="1" selected="0">
            <x v="27"/>
          </reference>
          <reference field="4" count="1" selected="0">
            <x v="2"/>
          </reference>
          <reference field="5" count="1" selected="0">
            <x v="3"/>
          </reference>
          <reference field="8" count="1" selected="0">
            <x v="7"/>
          </reference>
          <reference field="10" count="1" selected="0">
            <x v="0"/>
          </reference>
          <reference field="11" count="1" selected="0">
            <x v="1"/>
          </reference>
          <reference field="12" count="1" selected="0">
            <x v="22"/>
          </reference>
          <reference field="13" count="1">
            <x v="1"/>
          </reference>
        </references>
      </pivotArea>
    </format>
    <format dxfId="39">
      <pivotArea dataOnly="0" labelOnly="1" outline="0" fieldPosition="0">
        <references count="8">
          <reference field="0" count="1" selected="0">
            <x v="28"/>
          </reference>
          <reference field="4" count="1" selected="0">
            <x v="2"/>
          </reference>
          <reference field="5" count="1" selected="0">
            <x v="3"/>
          </reference>
          <reference field="8" count="1" selected="0">
            <x v="6"/>
          </reference>
          <reference field="10" count="1" selected="0">
            <x v="0"/>
          </reference>
          <reference field="11" count="1" selected="0">
            <x v="4"/>
          </reference>
          <reference field="12" count="1" selected="0">
            <x v="19"/>
          </reference>
          <reference field="13" count="1">
            <x v="22"/>
          </reference>
        </references>
      </pivotArea>
    </format>
    <format dxfId="38">
      <pivotArea dataOnly="0" labelOnly="1" outline="0" fieldPosition="0">
        <references count="8">
          <reference field="0" count="1" selected="0">
            <x v="29"/>
          </reference>
          <reference field="4" count="1" selected="0">
            <x v="2"/>
          </reference>
          <reference field="5" count="1" selected="0">
            <x v="3"/>
          </reference>
          <reference field="8" count="1" selected="0">
            <x v="6"/>
          </reference>
          <reference field="10" count="1" selected="0">
            <x v="0"/>
          </reference>
          <reference field="11" count="1" selected="0">
            <x v="4"/>
          </reference>
          <reference field="12" count="1" selected="0">
            <x v="11"/>
          </reference>
          <reference field="13" count="1">
            <x v="21"/>
          </reference>
        </references>
      </pivotArea>
    </format>
    <format dxfId="37">
      <pivotArea dataOnly="0" labelOnly="1" outline="0" fieldPosition="0">
        <references count="8">
          <reference field="0" count="1" selected="0">
            <x v="30"/>
          </reference>
          <reference field="4" count="1" selected="0">
            <x v="2"/>
          </reference>
          <reference field="5" count="1" selected="0">
            <x v="3"/>
          </reference>
          <reference field="8" count="1" selected="0">
            <x v="7"/>
          </reference>
          <reference field="10" count="1" selected="0">
            <x v="0"/>
          </reference>
          <reference field="11" count="1" selected="0">
            <x v="0"/>
          </reference>
          <reference field="12" count="1" selected="0">
            <x v="1"/>
          </reference>
          <reference field="13" count="1">
            <x v="25"/>
          </reference>
        </references>
      </pivotArea>
    </format>
    <format dxfId="36">
      <pivotArea dataOnly="0" labelOnly="1" outline="0" fieldPosition="0">
        <references count="8">
          <reference field="0" count="1" selected="0">
            <x v="30"/>
          </reference>
          <reference field="4" count="1" selected="0">
            <x v="2"/>
          </reference>
          <reference field="5" count="1" selected="0">
            <x v="3"/>
          </reference>
          <reference field="8" count="1" selected="0">
            <x v="7"/>
          </reference>
          <reference field="10" count="1" selected="0">
            <x v="0"/>
          </reference>
          <reference field="11" count="1" selected="0">
            <x v="0"/>
          </reference>
          <reference field="12" count="1" selected="0">
            <x v="41"/>
          </reference>
          <reference field="13" count="1">
            <x v="43"/>
          </reference>
        </references>
      </pivotArea>
    </format>
    <format dxfId="35">
      <pivotArea dataOnly="0" labelOnly="1" outline="0" fieldPosition="0">
        <references count="8">
          <reference field="0" count="1" selected="0">
            <x v="31"/>
          </reference>
          <reference field="4" count="1" selected="0">
            <x v="2"/>
          </reference>
          <reference field="5" count="1" selected="0">
            <x v="3"/>
          </reference>
          <reference field="8" count="1" selected="0">
            <x v="1"/>
          </reference>
          <reference field="10" count="1" selected="0">
            <x v="0"/>
          </reference>
          <reference field="11" count="1" selected="0">
            <x v="7"/>
          </reference>
          <reference field="12" count="1" selected="0">
            <x v="34"/>
          </reference>
          <reference field="13" count="1">
            <x v="18"/>
          </reference>
        </references>
      </pivotArea>
    </format>
    <format dxfId="34">
      <pivotArea dataOnly="0" labelOnly="1" outline="0" fieldPosition="0">
        <references count="8">
          <reference field="0" count="1" selected="0">
            <x v="32"/>
          </reference>
          <reference field="4" count="1" selected="0">
            <x v="2"/>
          </reference>
          <reference field="5" count="1" selected="0">
            <x v="3"/>
          </reference>
          <reference field="8" count="1" selected="0">
            <x v="7"/>
          </reference>
          <reference field="10" count="1" selected="0">
            <x v="0"/>
          </reference>
          <reference field="11" count="1" selected="0">
            <x v="0"/>
          </reference>
          <reference field="12" count="1" selected="0">
            <x v="1"/>
          </reference>
          <reference field="13" count="1">
            <x v="25"/>
          </reference>
        </references>
      </pivotArea>
    </format>
    <format dxfId="33">
      <pivotArea dataOnly="0" labelOnly="1" outline="0" fieldPosition="0">
        <references count="8">
          <reference field="0" count="1" selected="0">
            <x v="32"/>
          </reference>
          <reference field="4" count="1" selected="0">
            <x v="2"/>
          </reference>
          <reference field="5" count="1" selected="0">
            <x v="3"/>
          </reference>
          <reference field="8" count="1" selected="0">
            <x v="7"/>
          </reference>
          <reference field="10" count="1" selected="0">
            <x v="0"/>
          </reference>
          <reference field="11" count="1" selected="0">
            <x v="0"/>
          </reference>
          <reference field="12" count="1" selected="0">
            <x v="40"/>
          </reference>
          <reference field="13" count="1">
            <x v="42"/>
          </reference>
        </references>
      </pivotArea>
    </format>
    <format dxfId="32">
      <pivotArea dataOnly="0" labelOnly="1" outline="0" fieldPosition="0">
        <references count="8">
          <reference field="0" count="1" selected="0">
            <x v="33"/>
          </reference>
          <reference field="4" count="1" selected="0">
            <x v="1"/>
          </reference>
          <reference field="5" count="1" selected="0">
            <x v="4"/>
          </reference>
          <reference field="8" count="1" selected="0">
            <x v="8"/>
          </reference>
          <reference field="10" count="1" selected="0">
            <x v="0"/>
          </reference>
          <reference field="11" count="1" selected="0">
            <x v="4"/>
          </reference>
          <reference field="12" count="1" selected="0">
            <x v="10"/>
          </reference>
          <reference field="13" count="1">
            <x v="27"/>
          </reference>
        </references>
      </pivotArea>
    </format>
    <format dxfId="31">
      <pivotArea dataOnly="0" labelOnly="1" outline="0" fieldPosition="0">
        <references count="8">
          <reference field="0" count="1" selected="0">
            <x v="34"/>
          </reference>
          <reference field="4" count="1" selected="0">
            <x v="1"/>
          </reference>
          <reference field="5" count="1" selected="0">
            <x v="4"/>
          </reference>
          <reference field="8" count="1" selected="0">
            <x v="8"/>
          </reference>
          <reference field="10" count="1" selected="0">
            <x v="0"/>
          </reference>
          <reference field="11" count="1" selected="0">
            <x v="4"/>
          </reference>
          <reference field="12" count="1" selected="0">
            <x v="9"/>
          </reference>
          <reference field="13" count="1">
            <x v="26"/>
          </reference>
        </references>
      </pivotArea>
    </format>
    <format dxfId="30">
      <pivotArea dataOnly="0" labelOnly="1" outline="0" fieldPosition="0">
        <references count="8">
          <reference field="0" count="1" selected="0">
            <x v="35"/>
          </reference>
          <reference field="4" count="1" selected="0">
            <x v="1"/>
          </reference>
          <reference field="5" count="1" selected="0">
            <x v="4"/>
          </reference>
          <reference field="8" count="1" selected="0">
            <x v="8"/>
          </reference>
          <reference field="10" count="1" selected="0">
            <x v="2"/>
          </reference>
          <reference field="11" count="1" selected="0">
            <x v="7"/>
          </reference>
          <reference field="12" count="1" selected="0">
            <x v="39"/>
          </reference>
          <reference field="13" count="1">
            <x v="40"/>
          </reference>
        </references>
      </pivotArea>
    </format>
    <format dxfId="29">
      <pivotArea dataOnly="0" labelOnly="1" outline="0" fieldPosition="0">
        <references count="8">
          <reference field="0" count="1" selected="0">
            <x v="37"/>
          </reference>
          <reference field="4" count="1" selected="0">
            <x v="1"/>
          </reference>
          <reference field="5" count="1" selected="0">
            <x v="4"/>
          </reference>
          <reference field="8" count="1" selected="0">
            <x v="11"/>
          </reference>
          <reference field="10" count="1" selected="0">
            <x v="2"/>
          </reference>
          <reference field="11" count="1" selected="0">
            <x v="7"/>
          </reference>
          <reference field="12" count="1" selected="0">
            <x v="34"/>
          </reference>
          <reference field="13" count="1">
            <x v="18"/>
          </reference>
        </references>
      </pivotArea>
    </format>
    <format dxfId="28">
      <pivotArea dataOnly="0" labelOnly="1" outline="0" fieldPosition="0">
        <references count="8">
          <reference field="0" count="1" selected="0">
            <x v="38"/>
          </reference>
          <reference field="4" count="1" selected="0">
            <x v="1"/>
          </reference>
          <reference field="5" count="1" selected="0">
            <x v="4"/>
          </reference>
          <reference field="8" count="1" selected="0">
            <x v="7"/>
          </reference>
          <reference field="10" count="1" selected="0">
            <x v="0"/>
          </reference>
          <reference field="11" count="1" selected="0">
            <x v="0"/>
          </reference>
          <reference field="12" count="1" selected="0">
            <x v="0"/>
          </reference>
          <reference field="13" count="1">
            <x v="10"/>
          </reference>
        </references>
      </pivotArea>
    </format>
    <format dxfId="27">
      <pivotArea dataOnly="0" labelOnly="1" outline="0" fieldPosition="0">
        <references count="8">
          <reference field="0" count="1" selected="0">
            <x v="38"/>
          </reference>
          <reference field="4" count="1" selected="0">
            <x v="1"/>
          </reference>
          <reference field="5" count="1" selected="0">
            <x v="4"/>
          </reference>
          <reference field="8" count="1" selected="0">
            <x v="7"/>
          </reference>
          <reference field="10" count="1" selected="0">
            <x v="0"/>
          </reference>
          <reference field="11" count="1" selected="0">
            <x v="0"/>
          </reference>
          <reference field="12" count="1" selected="0">
            <x v="41"/>
          </reference>
          <reference field="13" count="1">
            <x v="43"/>
          </reference>
        </references>
      </pivotArea>
    </format>
    <format dxfId="26">
      <pivotArea dataOnly="0" labelOnly="1" outline="0" fieldPosition="0">
        <references count="8">
          <reference field="0" count="1" selected="0">
            <x v="39"/>
          </reference>
          <reference field="4" count="1" selected="0">
            <x v="1"/>
          </reference>
          <reference field="5" count="1" selected="0">
            <x v="5"/>
          </reference>
          <reference field="8" count="1" selected="0">
            <x v="12"/>
          </reference>
          <reference field="10" count="1" selected="0">
            <x v="0"/>
          </reference>
          <reference field="11" count="1" selected="0">
            <x v="1"/>
          </reference>
          <reference field="12" count="1" selected="0">
            <x v="24"/>
          </reference>
          <reference field="13" count="1">
            <x v="9"/>
          </reference>
        </references>
      </pivotArea>
    </format>
    <format dxfId="25">
      <pivotArea dataOnly="0" labelOnly="1" outline="0" fieldPosition="0">
        <references count="8">
          <reference field="0" count="1" selected="0">
            <x v="43"/>
          </reference>
          <reference field="4" count="1" selected="0">
            <x v="1"/>
          </reference>
          <reference field="5" count="1" selected="0">
            <x v="5"/>
          </reference>
          <reference field="8" count="1" selected="0">
            <x v="13"/>
          </reference>
          <reference field="10" count="1" selected="0">
            <x v="0"/>
          </reference>
          <reference field="11" count="1" selected="0">
            <x v="1"/>
          </reference>
          <reference field="12" count="1" selected="0">
            <x v="21"/>
          </reference>
          <reference field="13" count="1">
            <x v="17"/>
          </reference>
        </references>
      </pivotArea>
    </format>
    <format dxfId="24">
      <pivotArea dataOnly="0" labelOnly="1" outline="0" fieldPosition="0">
        <references count="8">
          <reference field="0" count="1" selected="0">
            <x v="49"/>
          </reference>
          <reference field="4" count="1" selected="0">
            <x v="1"/>
          </reference>
          <reference field="5" count="1" selected="0">
            <x v="5"/>
          </reference>
          <reference field="8" count="1" selected="0">
            <x v="3"/>
          </reference>
          <reference field="10" count="1" selected="0">
            <x v="0"/>
          </reference>
          <reference field="11" count="1" selected="0">
            <x v="8"/>
          </reference>
          <reference field="12" count="1" selected="0">
            <x v="12"/>
          </reference>
          <reference field="13" count="1">
            <x v="28"/>
          </reference>
        </references>
      </pivotArea>
    </format>
    <format dxfId="23">
      <pivotArea dataOnly="0" labelOnly="1" outline="0" fieldPosition="0">
        <references count="8">
          <reference field="0" count="1" selected="0">
            <x v="50"/>
          </reference>
          <reference field="4" count="1" selected="0">
            <x v="1"/>
          </reference>
          <reference field="5" count="1" selected="0">
            <x v="5"/>
          </reference>
          <reference field="8" count="1" selected="0">
            <x v="3"/>
          </reference>
          <reference field="10" count="1" selected="0">
            <x v="0"/>
          </reference>
          <reference field="11" count="1" selected="0">
            <x v="4"/>
          </reference>
          <reference field="12" count="1" selected="0">
            <x v="18"/>
          </reference>
          <reference field="13" count="1">
            <x v="24"/>
          </reference>
        </references>
      </pivotArea>
    </format>
    <format dxfId="22">
      <pivotArea dataOnly="0" labelOnly="1" outline="0" fieldPosition="0">
        <references count="8">
          <reference field="0" count="1" selected="0">
            <x v="52"/>
          </reference>
          <reference field="4" count="1" selected="0">
            <x v="1"/>
          </reference>
          <reference field="5" count="1" selected="0">
            <x v="6"/>
          </reference>
          <reference field="8" count="1" selected="0">
            <x v="12"/>
          </reference>
          <reference field="10" count="1" selected="0">
            <x v="0"/>
          </reference>
          <reference field="11" count="1" selected="0">
            <x v="0"/>
          </reference>
          <reference field="12" count="1" selected="0">
            <x v="28"/>
          </reference>
          <reference field="13" count="1">
            <x v="32"/>
          </reference>
        </references>
      </pivotArea>
    </format>
    <format dxfId="21">
      <pivotArea dataOnly="0" labelOnly="1" outline="0" fieldPosition="0">
        <references count="8">
          <reference field="0" count="1" selected="0">
            <x v="53"/>
          </reference>
          <reference field="4" count="1" selected="0">
            <x v="1"/>
          </reference>
          <reference field="5" count="1" selected="0">
            <x v="6"/>
          </reference>
          <reference field="8" count="1" selected="0">
            <x v="12"/>
          </reference>
          <reference field="10" count="1" selected="0">
            <x v="0"/>
          </reference>
          <reference field="11" count="1" selected="0">
            <x v="2"/>
          </reference>
          <reference field="12" count="1" selected="0">
            <x v="32"/>
          </reference>
          <reference field="13" count="1">
            <x v="23"/>
          </reference>
        </references>
      </pivotArea>
    </format>
    <format dxfId="20">
      <pivotArea dataOnly="0" labelOnly="1" outline="0" fieldPosition="0">
        <references count="8">
          <reference field="0" count="1" selected="0">
            <x v="54"/>
          </reference>
          <reference field="4" count="1" selected="0">
            <x v="1"/>
          </reference>
          <reference field="5" count="1" selected="0">
            <x v="6"/>
          </reference>
          <reference field="8" count="1" selected="0">
            <x v="12"/>
          </reference>
          <reference field="10" count="1" selected="0">
            <x v="0"/>
          </reference>
          <reference field="11" count="1" selected="0">
            <x v="4"/>
          </reference>
          <reference field="12" count="1" selected="0">
            <x v="26"/>
          </reference>
          <reference field="13" count="1">
            <x v="13"/>
          </reference>
        </references>
      </pivotArea>
    </format>
    <format dxfId="19">
      <pivotArea dataOnly="0" labelOnly="1" outline="0" fieldPosition="0">
        <references count="8">
          <reference field="0" count="1" selected="0">
            <x v="58"/>
          </reference>
          <reference field="4" count="1" selected="0">
            <x v="1"/>
          </reference>
          <reference field="5" count="1" selected="0">
            <x v="6"/>
          </reference>
          <reference field="8" count="1" selected="0">
            <x v="13"/>
          </reference>
          <reference field="10" count="1" selected="0">
            <x v="0"/>
          </reference>
          <reference field="11" count="1" selected="0">
            <x v="1"/>
          </reference>
          <reference field="12" count="1" selected="0">
            <x v="21"/>
          </reference>
          <reference field="13" count="1">
            <x v="17"/>
          </reference>
        </references>
      </pivotArea>
    </format>
    <format dxfId="18">
      <pivotArea dataOnly="0" labelOnly="1" outline="0" fieldPosition="0">
        <references count="8">
          <reference field="0" count="1" selected="0">
            <x v="64"/>
          </reference>
          <reference field="4" count="1" selected="0">
            <x v="1"/>
          </reference>
          <reference field="5" count="1" selected="0">
            <x v="6"/>
          </reference>
          <reference field="8" count="1" selected="0">
            <x v="3"/>
          </reference>
          <reference field="10" count="1" selected="0">
            <x v="0"/>
          </reference>
          <reference field="11" count="1" selected="0">
            <x v="5"/>
          </reference>
          <reference field="12" count="1" selected="0">
            <x v="18"/>
          </reference>
          <reference field="13" count="1">
            <x v="24"/>
          </reference>
        </references>
      </pivotArea>
    </format>
    <format dxfId="17">
      <pivotArea dataOnly="0" labelOnly="1" outline="0" fieldPosition="0">
        <references count="8">
          <reference field="0" count="1" selected="0">
            <x v="65"/>
          </reference>
          <reference field="4" count="1" selected="0">
            <x v="1"/>
          </reference>
          <reference field="5" count="1" selected="0">
            <x v="6"/>
          </reference>
          <reference field="8" count="1" selected="0">
            <x v="7"/>
          </reference>
          <reference field="10" count="1" selected="0">
            <x v="0"/>
          </reference>
          <reference field="11" count="1" selected="0">
            <x v="0"/>
          </reference>
          <reference field="12" count="1" selected="0">
            <x v="0"/>
          </reference>
          <reference field="13" count="1">
            <x v="10"/>
          </reference>
        </references>
      </pivotArea>
    </format>
    <format dxfId="16">
      <pivotArea dataOnly="0" labelOnly="1" outline="0" fieldPosition="0">
        <references count="8">
          <reference field="0" count="1" selected="0">
            <x v="65"/>
          </reference>
          <reference field="4" count="1" selected="0">
            <x v="1"/>
          </reference>
          <reference field="5" count="1" selected="0">
            <x v="6"/>
          </reference>
          <reference field="8" count="1" selected="0">
            <x v="7"/>
          </reference>
          <reference field="10" count="1" selected="0">
            <x v="0"/>
          </reference>
          <reference field="11" count="1" selected="0">
            <x v="0"/>
          </reference>
          <reference field="12" count="1" selected="0">
            <x v="1"/>
          </reference>
          <reference field="13" count="1">
            <x v="25"/>
          </reference>
        </references>
      </pivotArea>
    </format>
    <format dxfId="15">
      <pivotArea dataOnly="0" labelOnly="1" outline="0" fieldPosition="0">
        <references count="8">
          <reference field="0" count="1" selected="0">
            <x v="65"/>
          </reference>
          <reference field="4" count="1" selected="0">
            <x v="1"/>
          </reference>
          <reference field="5" count="1" selected="0">
            <x v="6"/>
          </reference>
          <reference field="8" count="1" selected="0">
            <x v="7"/>
          </reference>
          <reference field="10" count="1" selected="0">
            <x v="0"/>
          </reference>
          <reference field="11" count="1" selected="0">
            <x v="0"/>
          </reference>
          <reference field="12" count="1" selected="0">
            <x v="2"/>
          </reference>
          <reference field="13" count="1">
            <x v="3"/>
          </reference>
        </references>
      </pivotArea>
    </format>
    <format dxfId="14">
      <pivotArea dataOnly="0" labelOnly="1" outline="0" fieldPosition="0">
        <references count="8">
          <reference field="0" count="1" selected="0">
            <x v="67"/>
          </reference>
          <reference field="4" count="1" selected="0">
            <x v="0"/>
          </reference>
          <reference field="5" count="1" selected="0">
            <x v="7"/>
          </reference>
          <reference field="8" count="1" selected="0">
            <x v="2"/>
          </reference>
          <reference field="10" count="1" selected="0">
            <x v="0"/>
          </reference>
          <reference field="11" count="1" selected="0">
            <x v="0"/>
          </reference>
          <reference field="12" count="1" selected="0">
            <x v="25"/>
          </reference>
          <reference field="13" count="1">
            <x v="12"/>
          </reference>
        </references>
      </pivotArea>
    </format>
    <format dxfId="13">
      <pivotArea dataOnly="0" labelOnly="1" outline="0" fieldPosition="0">
        <references count="8">
          <reference field="0" count="1" selected="0">
            <x v="68"/>
          </reference>
          <reference field="4" count="1" selected="0">
            <x v="0"/>
          </reference>
          <reference field="5" count="1" selected="0">
            <x v="7"/>
          </reference>
          <reference field="8" count="1" selected="0">
            <x v="2"/>
          </reference>
          <reference field="10" count="1" selected="0">
            <x v="0"/>
          </reference>
          <reference field="11" count="1" selected="0">
            <x v="1"/>
          </reference>
          <reference field="12" count="1" selected="0">
            <x v="42"/>
          </reference>
          <reference field="13" count="1">
            <x v="44"/>
          </reference>
        </references>
      </pivotArea>
    </format>
    <format dxfId="12">
      <pivotArea dataOnly="0" labelOnly="1" outline="0" fieldPosition="0">
        <references count="8">
          <reference field="0" count="1" selected="0">
            <x v="69"/>
          </reference>
          <reference field="4" count="1" selected="0">
            <x v="0"/>
          </reference>
          <reference field="5" count="1" selected="0">
            <x v="7"/>
          </reference>
          <reference field="8" count="1" selected="0">
            <x v="2"/>
          </reference>
          <reference field="10" count="1" selected="0">
            <x v="0"/>
          </reference>
          <reference field="11" count="1" selected="0">
            <x v="0"/>
          </reference>
          <reference field="12" count="1" selected="0">
            <x v="25"/>
          </reference>
          <reference field="13" count="1">
            <x v="12"/>
          </reference>
        </references>
      </pivotArea>
    </format>
    <format dxfId="11">
      <pivotArea dataOnly="0" labelOnly="1" outline="0" fieldPosition="0">
        <references count="8">
          <reference field="0" count="1" selected="0">
            <x v="70"/>
          </reference>
          <reference field="4" count="1" selected="0">
            <x v="0"/>
          </reference>
          <reference field="5" count="1" selected="0">
            <x v="8"/>
          </reference>
          <reference field="8" count="1" selected="0">
            <x v="2"/>
          </reference>
          <reference field="10" count="1" selected="0">
            <x v="0"/>
          </reference>
          <reference field="11" count="1" selected="0">
            <x v="0"/>
          </reference>
          <reference field="12" count="1" selected="0">
            <x v="8"/>
          </reference>
          <reference field="13" count="1">
            <x v="8"/>
          </reference>
        </references>
      </pivotArea>
    </format>
    <format dxfId="10">
      <pivotArea dataOnly="0" labelOnly="1" outline="0" fieldPosition="0">
        <references count="8">
          <reference field="0" count="1" selected="0">
            <x v="71"/>
          </reference>
          <reference field="4" count="1" selected="0">
            <x v="0"/>
          </reference>
          <reference field="5" count="1" selected="0">
            <x v="8"/>
          </reference>
          <reference field="8" count="1" selected="0">
            <x v="2"/>
          </reference>
          <reference field="10" count="1" selected="0">
            <x v="0"/>
          </reference>
          <reference field="11" count="1" selected="0">
            <x v="5"/>
          </reference>
          <reference field="12" count="1" selected="0">
            <x v="20"/>
          </reference>
          <reference field="13" count="1">
            <x v="35"/>
          </reference>
        </references>
      </pivotArea>
    </format>
    <format dxfId="9">
      <pivotArea dataOnly="0" labelOnly="1" outline="0" fieldPosition="0">
        <references count="8">
          <reference field="0" count="1" selected="0">
            <x v="72"/>
          </reference>
          <reference field="4" count="1" selected="0">
            <x v="0"/>
          </reference>
          <reference field="5" count="1" selected="0">
            <x v="8"/>
          </reference>
          <reference field="8" count="1" selected="0">
            <x v="2"/>
          </reference>
          <reference field="10" count="1" selected="0">
            <x v="0"/>
          </reference>
          <reference field="11" count="1" selected="0">
            <x v="0"/>
          </reference>
          <reference field="12" count="1" selected="0">
            <x v="27"/>
          </reference>
          <reference field="13" count="1">
            <x v="6"/>
          </reference>
        </references>
      </pivotArea>
    </format>
    <format dxfId="8">
      <pivotArea dataOnly="0" labelOnly="1" outline="0" fieldPosition="0">
        <references count="8">
          <reference field="0" count="1" selected="0">
            <x v="0"/>
          </reference>
          <reference field="4" count="1" selected="0">
            <x v="0"/>
          </reference>
          <reference field="5" count="1" selected="0">
            <x v="9"/>
          </reference>
          <reference field="8" count="1" selected="0">
            <x v="2"/>
          </reference>
          <reference field="10" count="1" selected="0">
            <x v="0"/>
          </reference>
          <reference field="11" count="1" selected="0">
            <x v="0"/>
          </reference>
          <reference field="12" count="1" selected="0">
            <x v="5"/>
          </reference>
          <reference field="13" count="1">
            <x v="7"/>
          </reference>
        </references>
      </pivotArea>
    </format>
    <format dxfId="7">
      <pivotArea dataOnly="0" labelOnly="1" outline="0" fieldPosition="0">
        <references count="8">
          <reference field="0" count="1" selected="0">
            <x v="1"/>
          </reference>
          <reference field="4" count="1" selected="0">
            <x v="0"/>
          </reference>
          <reference field="5" count="1" selected="0">
            <x v="9"/>
          </reference>
          <reference field="8" count="1" selected="0">
            <x v="2"/>
          </reference>
          <reference field="10" count="1" selected="0">
            <x v="0"/>
          </reference>
          <reference field="11" count="1" selected="0">
            <x v="3"/>
          </reference>
          <reference field="12" count="1" selected="0">
            <x v="31"/>
          </reference>
          <reference field="13" count="1">
            <x v="14"/>
          </reference>
        </references>
      </pivotArea>
    </format>
    <format dxfId="6">
      <pivotArea dataOnly="0" labelOnly="1" outline="0" fieldPosition="0">
        <references count="8">
          <reference field="0" count="1" selected="0">
            <x v="2"/>
          </reference>
          <reference field="4" count="1" selected="0">
            <x v="0"/>
          </reference>
          <reference field="5" count="1" selected="0">
            <x v="9"/>
          </reference>
          <reference field="8" count="1" selected="0">
            <x v="2"/>
          </reference>
          <reference field="10" count="1" selected="0">
            <x v="0"/>
          </reference>
          <reference field="11" count="1" selected="0">
            <x v="3"/>
          </reference>
          <reference field="12" count="1" selected="0">
            <x v="18"/>
          </reference>
          <reference field="13" count="1">
            <x v="24"/>
          </reference>
        </references>
      </pivotArea>
    </format>
    <format dxfId="5">
      <pivotArea dataOnly="0" labelOnly="1" outline="0" fieldPosition="0">
        <references count="8">
          <reference field="0" count="1" selected="0">
            <x v="3"/>
          </reference>
          <reference field="4" count="1" selected="0">
            <x v="0"/>
          </reference>
          <reference field="5" count="1" selected="0">
            <x v="10"/>
          </reference>
          <reference field="8" count="1" selected="0">
            <x v="2"/>
          </reference>
          <reference field="10" count="1" selected="0">
            <x v="0"/>
          </reference>
          <reference field="11" count="1" selected="0">
            <x v="3"/>
          </reference>
          <reference field="12" count="1" selected="0">
            <x v="29"/>
          </reference>
          <reference field="13" count="1">
            <x v="30"/>
          </reference>
        </references>
      </pivotArea>
    </format>
    <format dxfId="4">
      <pivotArea dataOnly="0" labelOnly="1" outline="0" fieldPosition="0">
        <references count="8">
          <reference field="0" count="1" selected="0">
            <x v="6"/>
          </reference>
          <reference field="4" count="1" selected="0">
            <x v="0"/>
          </reference>
          <reference field="5" count="1" selected="0">
            <x v="11"/>
          </reference>
          <reference field="8" count="1" selected="0">
            <x v="2"/>
          </reference>
          <reference field="10" count="1" selected="0">
            <x v="0"/>
          </reference>
          <reference field="11" count="1" selected="0">
            <x v="3"/>
          </reference>
          <reference field="12" count="1" selected="0">
            <x v="30"/>
          </reference>
          <reference field="13" count="1">
            <x v="29"/>
          </reference>
        </references>
      </pivotArea>
    </format>
    <format dxfId="3">
      <pivotArea field="17" type="button" dataOnly="0" labelOnly="1" outline="0" axis="axisRow" fieldPosition="9"/>
    </format>
    <format dxfId="2">
      <pivotArea field="15" type="button" dataOnly="0" labelOnly="1" outline="0" axis="axisRow" fieldPosition="8"/>
    </format>
    <format dxfId="1">
      <pivotArea field="18" type="button" dataOnly="0" labelOnly="1" outline="0" axis="axisRow" fieldPosition="10"/>
    </format>
    <format dxfId="0">
      <pivotArea field="19" type="button" dataOnly="0" labelOnly="1" outline="0" axis="axisRow" fieldPosition="11"/>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766F8-E994-403E-92AF-BDFF848AFC2B}">
  <sheetPr>
    <pageSetUpPr fitToPage="1"/>
  </sheetPr>
  <dimension ref="A1:J64"/>
  <sheetViews>
    <sheetView workbookViewId="0"/>
  </sheetViews>
  <sheetFormatPr defaultColWidth="10.76171875" defaultRowHeight="15" x14ac:dyDescent="0.2"/>
  <cols>
    <col min="1" max="1" width="16.140625" customWidth="1"/>
    <col min="2" max="2" width="7.93359375" customWidth="1"/>
    <col min="3" max="3" width="38.60546875" bestFit="1" customWidth="1"/>
    <col min="4" max="6" width="13.85546875" customWidth="1"/>
    <col min="7" max="7" width="12.10546875" bestFit="1" customWidth="1"/>
    <col min="8" max="8" width="14.52734375" customWidth="1"/>
    <col min="9" max="9" width="11.8359375" bestFit="1" customWidth="1"/>
    <col min="10" max="10" width="3.765625" bestFit="1" customWidth="1"/>
  </cols>
  <sheetData>
    <row r="1" spans="1:10" x14ac:dyDescent="0.2">
      <c r="A1" s="33" t="s">
        <v>0</v>
      </c>
      <c r="B1" s="6" t="s">
        <v>357</v>
      </c>
    </row>
    <row r="2" spans="1:10" x14ac:dyDescent="0.2">
      <c r="A2" s="33" t="s">
        <v>2</v>
      </c>
      <c r="B2" s="6" t="s">
        <v>357</v>
      </c>
    </row>
    <row r="3" spans="1:10" x14ac:dyDescent="0.2">
      <c r="A3" s="33" t="s">
        <v>12</v>
      </c>
      <c r="B3" s="6" t="s">
        <v>357</v>
      </c>
    </row>
    <row r="5" spans="1:10" x14ac:dyDescent="0.2">
      <c r="A5" s="33" t="s">
        <v>84</v>
      </c>
      <c r="B5" s="33" t="s">
        <v>47</v>
      </c>
      <c r="C5" s="33" t="s">
        <v>30</v>
      </c>
      <c r="D5" s="33" t="s">
        <v>36</v>
      </c>
      <c r="E5" s="33" t="s">
        <v>51</v>
      </c>
      <c r="F5" s="33" t="s">
        <v>52</v>
      </c>
      <c r="G5" s="33" t="s">
        <v>53</v>
      </c>
      <c r="H5" s="33" t="s">
        <v>37</v>
      </c>
      <c r="I5" s="33" t="s">
        <v>11</v>
      </c>
      <c r="J5" s="6" t="s">
        <v>358</v>
      </c>
    </row>
    <row r="6" spans="1:10" x14ac:dyDescent="0.2">
      <c r="A6" s="6">
        <v>0</v>
      </c>
      <c r="B6" s="35" t="s">
        <v>266</v>
      </c>
      <c r="C6" s="6" t="s">
        <v>267</v>
      </c>
      <c r="D6" s="6">
        <v>0</v>
      </c>
      <c r="E6" s="6">
        <v>0</v>
      </c>
      <c r="F6" s="6">
        <v>0</v>
      </c>
      <c r="G6" s="34">
        <v>0</v>
      </c>
      <c r="H6" s="6">
        <v>0</v>
      </c>
      <c r="I6" s="6" t="s">
        <v>146</v>
      </c>
      <c r="J6" s="6"/>
    </row>
    <row r="7" spans="1:10" x14ac:dyDescent="0.2">
      <c r="A7" s="6">
        <v>0</v>
      </c>
      <c r="B7" s="35" t="s">
        <v>39</v>
      </c>
      <c r="C7" s="6" t="s">
        <v>40</v>
      </c>
      <c r="D7" s="6">
        <v>0</v>
      </c>
      <c r="E7" s="6">
        <v>0</v>
      </c>
      <c r="F7" s="36">
        <v>0</v>
      </c>
      <c r="G7" s="37">
        <v>0</v>
      </c>
      <c r="H7" s="36">
        <v>0</v>
      </c>
      <c r="I7" s="6" t="s">
        <v>146</v>
      </c>
      <c r="J7" s="6">
        <v>12</v>
      </c>
    </row>
    <row r="8" spans="1:10" x14ac:dyDescent="0.2">
      <c r="A8" s="6">
        <v>0</v>
      </c>
      <c r="B8" s="35" t="s">
        <v>39</v>
      </c>
      <c r="C8" s="6" t="s">
        <v>40</v>
      </c>
      <c r="D8" s="6">
        <v>0</v>
      </c>
      <c r="E8" s="6">
        <v>0</v>
      </c>
      <c r="F8" s="36">
        <v>0</v>
      </c>
      <c r="G8" s="37">
        <v>0</v>
      </c>
      <c r="H8" s="36">
        <v>0</v>
      </c>
      <c r="I8" s="6" t="s">
        <v>29</v>
      </c>
      <c r="J8" s="6"/>
    </row>
    <row r="9" spans="1:10" x14ac:dyDescent="0.2">
      <c r="A9" s="6">
        <v>0</v>
      </c>
      <c r="B9" s="35" t="s">
        <v>422</v>
      </c>
      <c r="C9" s="6" t="s">
        <v>422</v>
      </c>
      <c r="D9" s="6">
        <v>0</v>
      </c>
      <c r="E9" s="6">
        <v>0</v>
      </c>
      <c r="F9" s="36">
        <v>0</v>
      </c>
      <c r="G9" s="37">
        <v>0</v>
      </c>
      <c r="H9" s="36">
        <v>0</v>
      </c>
      <c r="I9" s="6" t="s">
        <v>29</v>
      </c>
      <c r="J9" s="6"/>
    </row>
    <row r="10" spans="1:10" x14ac:dyDescent="0.2">
      <c r="A10" s="6">
        <v>0</v>
      </c>
      <c r="B10" s="35" t="s">
        <v>519</v>
      </c>
      <c r="C10" s="6" t="s">
        <v>520</v>
      </c>
      <c r="D10" s="6">
        <v>0</v>
      </c>
      <c r="E10" s="6">
        <v>0</v>
      </c>
      <c r="F10" s="36">
        <v>0</v>
      </c>
      <c r="G10" s="37">
        <v>0</v>
      </c>
      <c r="H10" s="36">
        <v>0</v>
      </c>
      <c r="I10" s="36" t="s">
        <v>146</v>
      </c>
      <c r="J10" s="6">
        <v>2</v>
      </c>
    </row>
    <row r="11" spans="1:10" x14ac:dyDescent="0.2">
      <c r="A11" s="6" t="s">
        <v>442</v>
      </c>
      <c r="B11" s="6"/>
      <c r="C11" s="6"/>
      <c r="D11" s="6"/>
      <c r="E11" s="6"/>
      <c r="F11" s="6"/>
      <c r="G11" s="6"/>
      <c r="H11" s="6"/>
      <c r="I11" s="6"/>
      <c r="J11" s="6">
        <v>14</v>
      </c>
    </row>
    <row r="12" spans="1:10" x14ac:dyDescent="0.2">
      <c r="A12" s="6" t="s">
        <v>87</v>
      </c>
      <c r="B12" s="35">
        <v>5</v>
      </c>
      <c r="C12" s="6" t="s">
        <v>42</v>
      </c>
      <c r="D12" s="6" t="s">
        <v>98</v>
      </c>
      <c r="E12" s="6" t="s">
        <v>96</v>
      </c>
      <c r="F12" s="38" t="s">
        <v>97</v>
      </c>
      <c r="G12" s="37" t="s">
        <v>3</v>
      </c>
      <c r="H12" s="36" t="s">
        <v>99</v>
      </c>
      <c r="I12" s="36" t="s">
        <v>146</v>
      </c>
      <c r="J12" s="6">
        <v>2</v>
      </c>
    </row>
    <row r="13" spans="1:10" x14ac:dyDescent="0.2">
      <c r="A13" s="6" t="s">
        <v>87</v>
      </c>
      <c r="B13" s="35">
        <v>10</v>
      </c>
      <c r="C13" s="6" t="s">
        <v>154</v>
      </c>
      <c r="D13" s="6" t="s">
        <v>157</v>
      </c>
      <c r="E13" s="6" t="s">
        <v>132</v>
      </c>
      <c r="F13" s="6" t="s">
        <v>135</v>
      </c>
      <c r="G13" s="34" t="s">
        <v>165</v>
      </c>
      <c r="H13" s="6" t="s">
        <v>158</v>
      </c>
      <c r="I13" s="6" t="s">
        <v>146</v>
      </c>
      <c r="J13" s="6">
        <v>27</v>
      </c>
    </row>
    <row r="14" spans="1:10" x14ac:dyDescent="0.2">
      <c r="A14" s="6" t="s">
        <v>87</v>
      </c>
      <c r="B14" s="35">
        <v>11</v>
      </c>
      <c r="C14" s="6" t="s">
        <v>155</v>
      </c>
      <c r="D14" s="6" t="s">
        <v>157</v>
      </c>
      <c r="E14" s="6" t="s">
        <v>96</v>
      </c>
      <c r="F14" s="6" t="s">
        <v>166</v>
      </c>
      <c r="G14" s="37" t="s">
        <v>165</v>
      </c>
      <c r="H14" s="6" t="s">
        <v>160</v>
      </c>
      <c r="I14" s="6" t="s">
        <v>146</v>
      </c>
      <c r="J14" s="6">
        <v>27</v>
      </c>
    </row>
    <row r="15" spans="1:10" x14ac:dyDescent="0.2">
      <c r="A15" s="6" t="s">
        <v>87</v>
      </c>
      <c r="B15" s="35">
        <v>12</v>
      </c>
      <c r="C15" s="6" t="s">
        <v>156</v>
      </c>
      <c r="D15" s="6" t="s">
        <v>168</v>
      </c>
      <c r="E15" s="6" t="s">
        <v>172</v>
      </c>
      <c r="F15" s="6">
        <v>0</v>
      </c>
      <c r="G15" s="34" t="s">
        <v>173</v>
      </c>
      <c r="H15" s="6" t="s">
        <v>174</v>
      </c>
      <c r="I15" s="6" t="s">
        <v>146</v>
      </c>
      <c r="J15" s="6">
        <v>6</v>
      </c>
    </row>
    <row r="16" spans="1:10" x14ac:dyDescent="0.2">
      <c r="A16" s="6" t="s">
        <v>87</v>
      </c>
      <c r="B16" s="35">
        <v>13</v>
      </c>
      <c r="C16" s="6" t="s">
        <v>177</v>
      </c>
      <c r="D16" s="6" t="s">
        <v>261</v>
      </c>
      <c r="E16" s="6" t="s">
        <v>96</v>
      </c>
      <c r="F16" s="6" t="s">
        <v>166</v>
      </c>
      <c r="G16" s="34" t="s">
        <v>265</v>
      </c>
      <c r="H16" s="6" t="s">
        <v>262</v>
      </c>
      <c r="I16" s="6" t="s">
        <v>146</v>
      </c>
      <c r="J16" s="6">
        <v>2</v>
      </c>
    </row>
    <row r="17" spans="1:10" x14ac:dyDescent="0.2">
      <c r="A17" s="6" t="s">
        <v>87</v>
      </c>
      <c r="B17" s="35">
        <v>19</v>
      </c>
      <c r="C17" s="6" t="s">
        <v>248</v>
      </c>
      <c r="D17" s="6" t="s">
        <v>168</v>
      </c>
      <c r="E17" s="6" t="s">
        <v>172</v>
      </c>
      <c r="F17" s="6">
        <v>0</v>
      </c>
      <c r="G17" s="34" t="s">
        <v>173</v>
      </c>
      <c r="H17" s="6" t="s">
        <v>174</v>
      </c>
      <c r="I17" s="6" t="s">
        <v>146</v>
      </c>
      <c r="J17" s="6">
        <v>4</v>
      </c>
    </row>
    <row r="18" spans="1:10" x14ac:dyDescent="0.2">
      <c r="A18" s="6" t="s">
        <v>87</v>
      </c>
      <c r="B18" s="35">
        <v>19</v>
      </c>
      <c r="C18" s="6" t="s">
        <v>248</v>
      </c>
      <c r="D18" s="6" t="s">
        <v>168</v>
      </c>
      <c r="E18" s="6" t="s">
        <v>172</v>
      </c>
      <c r="F18" s="6">
        <v>0</v>
      </c>
      <c r="G18" s="34" t="s">
        <v>173</v>
      </c>
      <c r="H18" s="6" t="s">
        <v>174</v>
      </c>
      <c r="I18" s="36" t="s">
        <v>29</v>
      </c>
      <c r="J18" s="6"/>
    </row>
    <row r="19" spans="1:10" x14ac:dyDescent="0.2">
      <c r="A19" s="6" t="s">
        <v>87</v>
      </c>
      <c r="B19" s="35">
        <v>20</v>
      </c>
      <c r="C19" s="6" t="s">
        <v>268</v>
      </c>
      <c r="D19" s="6" t="s">
        <v>168</v>
      </c>
      <c r="E19" s="6" t="s">
        <v>172</v>
      </c>
      <c r="F19" s="36">
        <v>0</v>
      </c>
      <c r="G19" s="37" t="s">
        <v>173</v>
      </c>
      <c r="H19" s="36" t="s">
        <v>174</v>
      </c>
      <c r="I19" s="6" t="s">
        <v>146</v>
      </c>
      <c r="J19" s="6">
        <v>6</v>
      </c>
    </row>
    <row r="20" spans="1:10" x14ac:dyDescent="0.2">
      <c r="A20" s="6" t="s">
        <v>443</v>
      </c>
      <c r="B20" s="6"/>
      <c r="C20" s="6"/>
      <c r="D20" s="6"/>
      <c r="E20" s="6"/>
      <c r="F20" s="6"/>
      <c r="G20" s="6"/>
      <c r="H20" s="6"/>
      <c r="I20" s="6"/>
      <c r="J20" s="6">
        <v>74</v>
      </c>
    </row>
    <row r="21" spans="1:10" x14ac:dyDescent="0.2">
      <c r="A21" s="6" t="s">
        <v>85</v>
      </c>
      <c r="B21" s="35">
        <v>1</v>
      </c>
      <c r="C21" s="6" t="s">
        <v>38</v>
      </c>
      <c r="D21" s="6" t="s">
        <v>46</v>
      </c>
      <c r="E21" s="6" t="s">
        <v>50</v>
      </c>
      <c r="F21" s="6" t="s">
        <v>54</v>
      </c>
      <c r="G21" s="34" t="s">
        <v>3</v>
      </c>
      <c r="H21" s="6" t="s">
        <v>28</v>
      </c>
      <c r="I21" s="6" t="s">
        <v>146</v>
      </c>
      <c r="J21" s="6">
        <v>4</v>
      </c>
    </row>
    <row r="22" spans="1:10" x14ac:dyDescent="0.2">
      <c r="A22" s="6" t="s">
        <v>85</v>
      </c>
      <c r="B22" s="35">
        <v>2</v>
      </c>
      <c r="C22" s="6" t="s">
        <v>45</v>
      </c>
      <c r="D22" s="6" t="s">
        <v>46</v>
      </c>
      <c r="E22" s="6" t="s">
        <v>50</v>
      </c>
      <c r="F22" s="36" t="s">
        <v>54</v>
      </c>
      <c r="G22" s="37" t="s">
        <v>3</v>
      </c>
      <c r="H22" s="36" t="s">
        <v>28</v>
      </c>
      <c r="I22" s="6" t="s">
        <v>146</v>
      </c>
      <c r="J22" s="6">
        <v>4</v>
      </c>
    </row>
    <row r="23" spans="1:10" x14ac:dyDescent="0.2">
      <c r="A23" s="6" t="s">
        <v>85</v>
      </c>
      <c r="B23" s="35">
        <v>6</v>
      </c>
      <c r="C23" s="6" t="s">
        <v>439</v>
      </c>
      <c r="D23" s="6" t="s">
        <v>46</v>
      </c>
      <c r="E23" s="6" t="s">
        <v>50</v>
      </c>
      <c r="F23" s="36" t="s">
        <v>54</v>
      </c>
      <c r="G23" s="37" t="s">
        <v>3</v>
      </c>
      <c r="H23" s="36" t="s">
        <v>28</v>
      </c>
      <c r="I23" s="6" t="s">
        <v>146</v>
      </c>
      <c r="J23" s="6">
        <v>3</v>
      </c>
    </row>
    <row r="24" spans="1:10" x14ac:dyDescent="0.2">
      <c r="A24" s="6" t="s">
        <v>85</v>
      </c>
      <c r="B24" s="35">
        <v>9</v>
      </c>
      <c r="C24" s="6" t="s">
        <v>440</v>
      </c>
      <c r="D24" s="6" t="s">
        <v>46</v>
      </c>
      <c r="E24" s="6" t="s">
        <v>50</v>
      </c>
      <c r="F24" s="36" t="s">
        <v>54</v>
      </c>
      <c r="G24" s="37" t="s">
        <v>3</v>
      </c>
      <c r="H24" s="36" t="s">
        <v>28</v>
      </c>
      <c r="I24" s="6" t="s">
        <v>146</v>
      </c>
      <c r="J24" s="6">
        <v>3</v>
      </c>
    </row>
    <row r="25" spans="1:10" x14ac:dyDescent="0.2">
      <c r="A25" s="6" t="s">
        <v>85</v>
      </c>
      <c r="B25" s="35">
        <v>14</v>
      </c>
      <c r="C25" s="6" t="s">
        <v>202</v>
      </c>
      <c r="D25" s="6" t="s">
        <v>259</v>
      </c>
      <c r="E25" s="6" t="s">
        <v>251</v>
      </c>
      <c r="F25" s="6" t="s">
        <v>256</v>
      </c>
      <c r="G25" s="34" t="s">
        <v>255</v>
      </c>
      <c r="H25" s="36" t="s">
        <v>28</v>
      </c>
      <c r="I25" s="6" t="s">
        <v>146</v>
      </c>
      <c r="J25" s="6">
        <v>2</v>
      </c>
    </row>
    <row r="26" spans="1:10" x14ac:dyDescent="0.2">
      <c r="A26" s="6" t="s">
        <v>85</v>
      </c>
      <c r="B26" s="35">
        <v>16</v>
      </c>
      <c r="C26" s="6" t="s">
        <v>199</v>
      </c>
      <c r="D26" s="6" t="s">
        <v>100</v>
      </c>
      <c r="E26" s="6" t="s">
        <v>353</v>
      </c>
      <c r="F26" s="6" t="s">
        <v>166</v>
      </c>
      <c r="G26" s="34">
        <v>0</v>
      </c>
      <c r="H26" s="6" t="s">
        <v>76</v>
      </c>
      <c r="I26" s="6" t="s">
        <v>146</v>
      </c>
      <c r="J26" s="6">
        <v>2</v>
      </c>
    </row>
    <row r="27" spans="1:10" x14ac:dyDescent="0.2">
      <c r="A27" s="6" t="s">
        <v>85</v>
      </c>
      <c r="B27" s="35">
        <v>17</v>
      </c>
      <c r="C27" s="6" t="s">
        <v>200</v>
      </c>
      <c r="D27" s="6" t="s">
        <v>259</v>
      </c>
      <c r="E27" s="6" t="s">
        <v>251</v>
      </c>
      <c r="F27" s="6" t="s">
        <v>256</v>
      </c>
      <c r="G27" s="34" t="s">
        <v>255</v>
      </c>
      <c r="H27" s="6" t="s">
        <v>28</v>
      </c>
      <c r="I27" s="6" t="s">
        <v>146</v>
      </c>
      <c r="J27" s="6">
        <v>2</v>
      </c>
    </row>
    <row r="28" spans="1:10" x14ac:dyDescent="0.2">
      <c r="A28" s="6" t="s">
        <v>85</v>
      </c>
      <c r="B28" s="35">
        <v>18</v>
      </c>
      <c r="C28" s="6" t="s">
        <v>201</v>
      </c>
      <c r="D28" s="6" t="s">
        <v>270</v>
      </c>
      <c r="E28" s="6" t="s">
        <v>272</v>
      </c>
      <c r="F28" s="36" t="s">
        <v>256</v>
      </c>
      <c r="G28" s="34" t="s">
        <v>274</v>
      </c>
      <c r="H28" s="36" t="s">
        <v>28</v>
      </c>
      <c r="I28" s="6" t="s">
        <v>146</v>
      </c>
      <c r="J28" s="6">
        <v>2</v>
      </c>
    </row>
    <row r="29" spans="1:10" x14ac:dyDescent="0.2">
      <c r="A29" s="6" t="s">
        <v>85</v>
      </c>
      <c r="B29" s="35">
        <v>23</v>
      </c>
      <c r="C29" s="6" t="s">
        <v>506</v>
      </c>
      <c r="D29" s="6" t="s">
        <v>168</v>
      </c>
      <c r="E29" s="6" t="s">
        <v>50</v>
      </c>
      <c r="F29" s="36" t="s">
        <v>501</v>
      </c>
      <c r="G29" s="37" t="s">
        <v>165</v>
      </c>
      <c r="H29" s="36" t="s">
        <v>28</v>
      </c>
      <c r="I29" s="36" t="s">
        <v>146</v>
      </c>
      <c r="J29" s="6">
        <v>2</v>
      </c>
    </row>
    <row r="30" spans="1:10" x14ac:dyDescent="0.2">
      <c r="A30" s="6" t="s">
        <v>85</v>
      </c>
      <c r="B30" s="35">
        <v>27</v>
      </c>
      <c r="C30" s="6" t="s">
        <v>280</v>
      </c>
      <c r="D30" s="6" t="s">
        <v>287</v>
      </c>
      <c r="E30" s="6" t="s">
        <v>284</v>
      </c>
      <c r="F30" s="6" t="s">
        <v>107</v>
      </c>
      <c r="G30" s="34" t="s">
        <v>283</v>
      </c>
      <c r="H30" s="6" t="s">
        <v>282</v>
      </c>
      <c r="I30" s="6" t="s">
        <v>146</v>
      </c>
      <c r="J30" s="6">
        <v>2</v>
      </c>
    </row>
    <row r="31" spans="1:10" x14ac:dyDescent="0.2">
      <c r="A31" s="6" t="s">
        <v>85</v>
      </c>
      <c r="B31" s="35">
        <v>28</v>
      </c>
      <c r="C31" s="6" t="s">
        <v>281</v>
      </c>
      <c r="D31" s="6" t="s">
        <v>287</v>
      </c>
      <c r="E31" s="6" t="s">
        <v>284</v>
      </c>
      <c r="F31" s="36" t="s">
        <v>107</v>
      </c>
      <c r="G31" s="37" t="s">
        <v>283</v>
      </c>
      <c r="H31" s="36" t="s">
        <v>282</v>
      </c>
      <c r="I31" s="6" t="s">
        <v>146</v>
      </c>
      <c r="J31" s="6">
        <v>1</v>
      </c>
    </row>
    <row r="32" spans="1:10" x14ac:dyDescent="0.2">
      <c r="A32" s="6" t="s">
        <v>85</v>
      </c>
      <c r="B32" s="35">
        <v>29</v>
      </c>
      <c r="C32" s="6" t="s">
        <v>441</v>
      </c>
      <c r="D32" s="6" t="s">
        <v>308</v>
      </c>
      <c r="E32" s="6" t="s">
        <v>303</v>
      </c>
      <c r="F32" s="6" t="s">
        <v>54</v>
      </c>
      <c r="G32" s="34" t="s">
        <v>3</v>
      </c>
      <c r="H32" s="6" t="s">
        <v>28</v>
      </c>
      <c r="I32" s="6" t="s">
        <v>146</v>
      </c>
      <c r="J32" s="6">
        <v>3</v>
      </c>
    </row>
    <row r="33" spans="1:10" x14ac:dyDescent="0.2">
      <c r="A33" s="6" t="s">
        <v>85</v>
      </c>
      <c r="B33" s="35">
        <v>31</v>
      </c>
      <c r="C33" s="6" t="s">
        <v>319</v>
      </c>
      <c r="D33" s="6" t="s">
        <v>317</v>
      </c>
      <c r="E33" s="6" t="s">
        <v>92</v>
      </c>
      <c r="F33" s="6" t="s">
        <v>166</v>
      </c>
      <c r="G33" s="34" t="s">
        <v>283</v>
      </c>
      <c r="H33" s="6" t="s">
        <v>318</v>
      </c>
      <c r="I33" s="6" t="s">
        <v>146</v>
      </c>
      <c r="J33" s="6">
        <v>2</v>
      </c>
    </row>
    <row r="34" spans="1:10" x14ac:dyDescent="0.2">
      <c r="A34" s="6" t="s">
        <v>85</v>
      </c>
      <c r="B34" s="35">
        <v>40</v>
      </c>
      <c r="C34" s="6" t="s">
        <v>405</v>
      </c>
      <c r="D34" s="6" t="s">
        <v>270</v>
      </c>
      <c r="E34" s="6" t="s">
        <v>50</v>
      </c>
      <c r="F34" s="6" t="s">
        <v>406</v>
      </c>
      <c r="G34" s="34" t="s">
        <v>274</v>
      </c>
      <c r="H34" s="6" t="s">
        <v>338</v>
      </c>
      <c r="I34" s="6" t="s">
        <v>146</v>
      </c>
      <c r="J34" s="6">
        <v>2</v>
      </c>
    </row>
    <row r="35" spans="1:10" x14ac:dyDescent="0.2">
      <c r="A35" s="6" t="s">
        <v>85</v>
      </c>
      <c r="B35" s="35">
        <v>48</v>
      </c>
      <c r="C35" s="6" t="s">
        <v>429</v>
      </c>
      <c r="D35" s="6" t="s">
        <v>481</v>
      </c>
      <c r="E35" s="6" t="s">
        <v>50</v>
      </c>
      <c r="F35" s="36" t="s">
        <v>54</v>
      </c>
      <c r="G35" s="37" t="s">
        <v>3</v>
      </c>
      <c r="H35" s="36" t="s">
        <v>28</v>
      </c>
      <c r="I35" s="36" t="s">
        <v>146</v>
      </c>
      <c r="J35" s="6">
        <v>2</v>
      </c>
    </row>
    <row r="36" spans="1:10" x14ac:dyDescent="0.2">
      <c r="A36" s="6" t="s">
        <v>85</v>
      </c>
      <c r="B36" s="35">
        <v>51</v>
      </c>
      <c r="C36" s="6" t="s">
        <v>463</v>
      </c>
      <c r="D36" s="6" t="s">
        <v>83</v>
      </c>
      <c r="E36" s="6" t="s">
        <v>50</v>
      </c>
      <c r="F36" s="36" t="s">
        <v>256</v>
      </c>
      <c r="G36" s="37" t="s">
        <v>255</v>
      </c>
      <c r="H36" s="36" t="s">
        <v>28</v>
      </c>
      <c r="I36" s="36" t="s">
        <v>146</v>
      </c>
      <c r="J36" s="6">
        <v>4</v>
      </c>
    </row>
    <row r="37" spans="1:10" x14ac:dyDescent="0.2">
      <c r="A37" s="6" t="s">
        <v>85</v>
      </c>
      <c r="B37" s="35">
        <v>50</v>
      </c>
      <c r="C37" s="6" t="s">
        <v>460</v>
      </c>
      <c r="D37" s="6" t="s">
        <v>459</v>
      </c>
      <c r="E37" s="6" t="s">
        <v>50</v>
      </c>
      <c r="F37" s="36" t="s">
        <v>406</v>
      </c>
      <c r="G37" s="37" t="s">
        <v>274</v>
      </c>
      <c r="H37" s="36" t="s">
        <v>318</v>
      </c>
      <c r="I37" s="36" t="s">
        <v>146</v>
      </c>
      <c r="J37" s="6">
        <v>4</v>
      </c>
    </row>
    <row r="38" spans="1:10" x14ac:dyDescent="0.2">
      <c r="A38" s="6" t="s">
        <v>85</v>
      </c>
      <c r="B38" s="35">
        <v>49</v>
      </c>
      <c r="C38" s="6" t="s">
        <v>464</v>
      </c>
      <c r="D38" s="6" t="s">
        <v>308</v>
      </c>
      <c r="E38" s="6" t="s">
        <v>50</v>
      </c>
      <c r="F38" s="36" t="s">
        <v>54</v>
      </c>
      <c r="G38" s="37" t="s">
        <v>274</v>
      </c>
      <c r="H38" s="36" t="s">
        <v>56</v>
      </c>
      <c r="I38" s="36" t="s">
        <v>146</v>
      </c>
      <c r="J38" s="6">
        <v>3</v>
      </c>
    </row>
    <row r="39" spans="1:10" x14ac:dyDescent="0.2">
      <c r="A39" s="6" t="s">
        <v>444</v>
      </c>
      <c r="B39" s="6"/>
      <c r="C39" s="6"/>
      <c r="D39" s="6"/>
      <c r="E39" s="6"/>
      <c r="F39" s="6"/>
      <c r="G39" s="6"/>
      <c r="H39" s="6"/>
      <c r="I39" s="6"/>
      <c r="J39" s="6">
        <v>47</v>
      </c>
    </row>
    <row r="40" spans="1:10" x14ac:dyDescent="0.2">
      <c r="A40" s="6" t="s">
        <v>127</v>
      </c>
      <c r="B40" s="35">
        <v>7</v>
      </c>
      <c r="C40" s="6" t="s">
        <v>115</v>
      </c>
      <c r="D40" s="6" t="s">
        <v>72</v>
      </c>
      <c r="E40" s="6" t="s">
        <v>132</v>
      </c>
      <c r="F40" s="6" t="s">
        <v>133</v>
      </c>
      <c r="G40" s="34">
        <v>3</v>
      </c>
      <c r="H40" s="6" t="s">
        <v>72</v>
      </c>
      <c r="I40" s="6" t="s">
        <v>146</v>
      </c>
      <c r="J40" s="6">
        <v>10</v>
      </c>
    </row>
    <row r="41" spans="1:10" x14ac:dyDescent="0.2">
      <c r="A41" s="6" t="s">
        <v>127</v>
      </c>
      <c r="B41" s="35">
        <v>8</v>
      </c>
      <c r="C41" s="6" t="s">
        <v>116</v>
      </c>
      <c r="D41" s="6" t="s">
        <v>72</v>
      </c>
      <c r="E41" s="6" t="s">
        <v>132</v>
      </c>
      <c r="F41" s="36" t="s">
        <v>133</v>
      </c>
      <c r="G41" s="37">
        <v>3</v>
      </c>
      <c r="H41" s="36" t="s">
        <v>72</v>
      </c>
      <c r="I41" s="6" t="s">
        <v>146</v>
      </c>
      <c r="J41" s="6">
        <v>10</v>
      </c>
    </row>
    <row r="42" spans="1:10" x14ac:dyDescent="0.2">
      <c r="A42" s="6" t="s">
        <v>127</v>
      </c>
      <c r="B42" s="35">
        <v>32</v>
      </c>
      <c r="C42" s="6" t="s">
        <v>320</v>
      </c>
      <c r="D42" s="6" t="s">
        <v>287</v>
      </c>
      <c r="E42" s="6" t="s">
        <v>321</v>
      </c>
      <c r="F42" s="6" t="s">
        <v>256</v>
      </c>
      <c r="G42" s="34" t="s">
        <v>265</v>
      </c>
      <c r="H42" s="6" t="s">
        <v>282</v>
      </c>
      <c r="I42" s="6" t="s">
        <v>146</v>
      </c>
      <c r="J42" s="6">
        <v>15</v>
      </c>
    </row>
    <row r="43" spans="1:10" x14ac:dyDescent="0.2">
      <c r="A43" s="6" t="s">
        <v>127</v>
      </c>
      <c r="B43" s="35">
        <v>33</v>
      </c>
      <c r="C43" s="6" t="s">
        <v>324</v>
      </c>
      <c r="D43" s="6" t="s">
        <v>287</v>
      </c>
      <c r="E43" s="6" t="s">
        <v>321</v>
      </c>
      <c r="F43" s="36" t="s">
        <v>256</v>
      </c>
      <c r="G43" s="37" t="s">
        <v>265</v>
      </c>
      <c r="H43" s="36" t="s">
        <v>282</v>
      </c>
      <c r="I43" s="6" t="s">
        <v>146</v>
      </c>
      <c r="J43" s="6">
        <v>15</v>
      </c>
    </row>
    <row r="44" spans="1:10" x14ac:dyDescent="0.2">
      <c r="A44" s="6" t="s">
        <v>445</v>
      </c>
      <c r="B44" s="6"/>
      <c r="C44" s="6"/>
      <c r="D44" s="6"/>
      <c r="E44" s="6"/>
      <c r="F44" s="6"/>
      <c r="G44" s="6"/>
      <c r="H44" s="6"/>
      <c r="I44" s="6"/>
      <c r="J44" s="6">
        <v>50</v>
      </c>
    </row>
    <row r="45" spans="1:10" x14ac:dyDescent="0.2">
      <c r="A45" s="6" t="s">
        <v>86</v>
      </c>
      <c r="B45" s="35">
        <v>3</v>
      </c>
      <c r="C45" s="6" t="s">
        <v>88</v>
      </c>
      <c r="D45" s="6" t="s">
        <v>89</v>
      </c>
      <c r="E45" s="6" t="s">
        <v>92</v>
      </c>
      <c r="F45" s="6" t="s">
        <v>91</v>
      </c>
      <c r="G45" s="34" t="s">
        <v>3</v>
      </c>
      <c r="H45" s="6" t="s">
        <v>90</v>
      </c>
      <c r="I45" s="6" t="s">
        <v>146</v>
      </c>
      <c r="J45" s="6">
        <v>3</v>
      </c>
    </row>
    <row r="46" spans="1:10" x14ac:dyDescent="0.2">
      <c r="A46" s="6" t="s">
        <v>86</v>
      </c>
      <c r="B46" s="35">
        <v>22</v>
      </c>
      <c r="C46" s="6" t="s">
        <v>278</v>
      </c>
      <c r="D46" s="6">
        <v>0</v>
      </c>
      <c r="E46" s="6">
        <v>0</v>
      </c>
      <c r="F46" s="6">
        <v>0</v>
      </c>
      <c r="G46" s="34">
        <v>0</v>
      </c>
      <c r="H46" s="6" t="s">
        <v>28</v>
      </c>
      <c r="I46" s="6" t="s">
        <v>146</v>
      </c>
      <c r="J46" s="6">
        <v>4</v>
      </c>
    </row>
    <row r="47" spans="1:10" x14ac:dyDescent="0.2">
      <c r="A47" s="6" t="s">
        <v>86</v>
      </c>
      <c r="B47" s="35">
        <v>42</v>
      </c>
      <c r="C47" s="6" t="s">
        <v>414</v>
      </c>
      <c r="D47" s="6" t="s">
        <v>308</v>
      </c>
      <c r="E47" s="6" t="s">
        <v>418</v>
      </c>
      <c r="F47" s="6" t="s">
        <v>314</v>
      </c>
      <c r="G47" s="34" t="s">
        <v>274</v>
      </c>
      <c r="H47" s="6" t="s">
        <v>125</v>
      </c>
      <c r="I47" s="6" t="s">
        <v>146</v>
      </c>
      <c r="J47" s="6">
        <v>2</v>
      </c>
    </row>
    <row r="48" spans="1:10" x14ac:dyDescent="0.2">
      <c r="A48" s="6" t="s">
        <v>86</v>
      </c>
      <c r="B48" s="35">
        <v>38</v>
      </c>
      <c r="C48" s="6" t="s">
        <v>396</v>
      </c>
      <c r="D48" s="6" t="s">
        <v>28</v>
      </c>
      <c r="E48" s="6" t="s">
        <v>454</v>
      </c>
      <c r="F48" s="36" t="s">
        <v>455</v>
      </c>
      <c r="G48" s="37" t="s">
        <v>453</v>
      </c>
      <c r="H48" s="36" t="s">
        <v>72</v>
      </c>
      <c r="I48" s="36" t="s">
        <v>146</v>
      </c>
      <c r="J48" s="6">
        <v>2</v>
      </c>
    </row>
    <row r="49" spans="1:10" x14ac:dyDescent="0.2">
      <c r="A49" s="6" t="s">
        <v>86</v>
      </c>
      <c r="B49" s="35">
        <v>37</v>
      </c>
      <c r="C49" s="6" t="s">
        <v>395</v>
      </c>
      <c r="D49" s="6">
        <v>0</v>
      </c>
      <c r="E49" s="6">
        <v>0</v>
      </c>
      <c r="F49" s="36">
        <v>0</v>
      </c>
      <c r="G49" s="37">
        <v>0</v>
      </c>
      <c r="H49" s="36">
        <v>0</v>
      </c>
      <c r="I49" s="36" t="s">
        <v>146</v>
      </c>
      <c r="J49" s="6">
        <v>2</v>
      </c>
    </row>
    <row r="50" spans="1:10" x14ac:dyDescent="0.2">
      <c r="A50" s="6" t="s">
        <v>86</v>
      </c>
      <c r="B50" s="35">
        <v>52</v>
      </c>
      <c r="C50" s="6" t="s">
        <v>509</v>
      </c>
      <c r="D50" s="6">
        <v>0</v>
      </c>
      <c r="E50" s="6">
        <v>0</v>
      </c>
      <c r="F50" s="36">
        <v>0</v>
      </c>
      <c r="G50" s="37">
        <v>0</v>
      </c>
      <c r="H50" s="36">
        <v>0</v>
      </c>
      <c r="I50" s="36" t="s">
        <v>146</v>
      </c>
      <c r="J50" s="6">
        <v>2</v>
      </c>
    </row>
    <row r="51" spans="1:10" x14ac:dyDescent="0.2">
      <c r="A51" s="6" t="s">
        <v>86</v>
      </c>
      <c r="B51" s="35">
        <v>39</v>
      </c>
      <c r="C51" s="6" t="s">
        <v>496</v>
      </c>
      <c r="D51" s="6" t="s">
        <v>28</v>
      </c>
      <c r="E51" s="6" t="s">
        <v>132</v>
      </c>
      <c r="F51" s="36" t="s">
        <v>107</v>
      </c>
      <c r="G51" s="37" t="s">
        <v>300</v>
      </c>
      <c r="H51" s="36" t="s">
        <v>486</v>
      </c>
      <c r="I51" s="36" t="s">
        <v>146</v>
      </c>
      <c r="J51" s="6">
        <v>2</v>
      </c>
    </row>
    <row r="52" spans="1:10" x14ac:dyDescent="0.2">
      <c r="A52" s="6" t="s">
        <v>86</v>
      </c>
      <c r="B52" s="35">
        <v>24</v>
      </c>
      <c r="C52" s="6" t="s">
        <v>279</v>
      </c>
      <c r="D52" s="6" t="s">
        <v>316</v>
      </c>
      <c r="E52" s="6" t="s">
        <v>92</v>
      </c>
      <c r="F52" s="36" t="s">
        <v>471</v>
      </c>
      <c r="G52" s="37" t="s">
        <v>274</v>
      </c>
      <c r="H52" s="36" t="s">
        <v>316</v>
      </c>
      <c r="I52" s="36" t="s">
        <v>146</v>
      </c>
      <c r="J52" s="6">
        <v>1</v>
      </c>
    </row>
    <row r="53" spans="1:10" x14ac:dyDescent="0.2">
      <c r="A53" s="6" t="s">
        <v>446</v>
      </c>
      <c r="B53" s="6"/>
      <c r="C53" s="6"/>
      <c r="D53" s="6"/>
      <c r="E53" s="6"/>
      <c r="F53" s="6"/>
      <c r="G53" s="6"/>
      <c r="H53" s="6"/>
      <c r="I53" s="6"/>
      <c r="J53" s="6">
        <v>18</v>
      </c>
    </row>
    <row r="54" spans="1:10" x14ac:dyDescent="0.2">
      <c r="A54" s="6" t="s">
        <v>304</v>
      </c>
      <c r="B54" s="35">
        <v>34</v>
      </c>
      <c r="C54" s="6" t="s">
        <v>339</v>
      </c>
      <c r="D54" s="6">
        <v>0</v>
      </c>
      <c r="E54" s="6" t="s">
        <v>132</v>
      </c>
      <c r="F54" s="6" t="s">
        <v>340</v>
      </c>
      <c r="G54" s="34" t="s">
        <v>341</v>
      </c>
      <c r="H54" s="6" t="s">
        <v>342</v>
      </c>
      <c r="I54" s="6" t="s">
        <v>146</v>
      </c>
      <c r="J54" s="6">
        <v>10</v>
      </c>
    </row>
    <row r="55" spans="1:10" x14ac:dyDescent="0.2">
      <c r="A55" s="6" t="s">
        <v>304</v>
      </c>
      <c r="B55" s="35">
        <v>36</v>
      </c>
      <c r="C55" s="6" t="s">
        <v>348</v>
      </c>
      <c r="D55" s="6">
        <v>0</v>
      </c>
      <c r="E55" s="6" t="s">
        <v>135</v>
      </c>
      <c r="F55" s="6" t="s">
        <v>349</v>
      </c>
      <c r="G55" s="34" t="s">
        <v>350</v>
      </c>
      <c r="H55" s="6" t="s">
        <v>351</v>
      </c>
      <c r="I55" s="6" t="s">
        <v>146</v>
      </c>
      <c r="J55" s="6">
        <v>2</v>
      </c>
    </row>
    <row r="56" spans="1:10" x14ac:dyDescent="0.2">
      <c r="A56" s="6" t="s">
        <v>447</v>
      </c>
      <c r="B56" s="6"/>
      <c r="C56" s="6"/>
      <c r="D56" s="6"/>
      <c r="E56" s="6"/>
      <c r="F56" s="6"/>
      <c r="G56" s="6"/>
      <c r="H56" s="6"/>
      <c r="I56" s="6"/>
      <c r="J56" s="6">
        <v>12</v>
      </c>
    </row>
    <row r="57" spans="1:10" x14ac:dyDescent="0.2">
      <c r="A57" s="6" t="s">
        <v>377</v>
      </c>
      <c r="B57" s="35">
        <v>4</v>
      </c>
      <c r="C57" s="6" t="s">
        <v>260</v>
      </c>
      <c r="D57" s="6" t="s">
        <v>83</v>
      </c>
      <c r="E57" s="6" t="s">
        <v>106</v>
      </c>
      <c r="F57" s="6" t="s">
        <v>107</v>
      </c>
      <c r="G57" s="34">
        <v>2</v>
      </c>
      <c r="H57" s="6" t="s">
        <v>108</v>
      </c>
      <c r="I57" s="6" t="s">
        <v>146</v>
      </c>
      <c r="J57" s="6">
        <v>7</v>
      </c>
    </row>
    <row r="58" spans="1:10" x14ac:dyDescent="0.2">
      <c r="A58" s="6" t="s">
        <v>448</v>
      </c>
      <c r="B58" s="6"/>
      <c r="C58" s="6"/>
      <c r="D58" s="6"/>
      <c r="E58" s="6"/>
      <c r="F58" s="6"/>
      <c r="G58" s="6"/>
      <c r="H58" s="6"/>
      <c r="I58" s="6"/>
      <c r="J58" s="6">
        <v>7</v>
      </c>
    </row>
    <row r="59" spans="1:10" x14ac:dyDescent="0.2">
      <c r="A59" s="6" t="s">
        <v>376</v>
      </c>
      <c r="B59" s="35">
        <v>21</v>
      </c>
      <c r="C59" s="6" t="s">
        <v>277</v>
      </c>
      <c r="D59" s="6" t="s">
        <v>308</v>
      </c>
      <c r="E59" s="6" t="s">
        <v>132</v>
      </c>
      <c r="F59" s="6" t="s">
        <v>314</v>
      </c>
      <c r="G59" s="34" t="s">
        <v>167</v>
      </c>
      <c r="H59" s="6" t="s">
        <v>125</v>
      </c>
      <c r="I59" s="6" t="s">
        <v>146</v>
      </c>
      <c r="J59" s="6">
        <v>11</v>
      </c>
    </row>
    <row r="60" spans="1:10" x14ac:dyDescent="0.2">
      <c r="A60" s="6" t="s">
        <v>376</v>
      </c>
      <c r="B60" s="35">
        <v>41</v>
      </c>
      <c r="C60" s="6" t="s">
        <v>411</v>
      </c>
      <c r="D60" s="6" t="s">
        <v>308</v>
      </c>
      <c r="E60" s="6" t="s">
        <v>132</v>
      </c>
      <c r="F60" s="36" t="s">
        <v>314</v>
      </c>
      <c r="G60" s="37" t="s">
        <v>167</v>
      </c>
      <c r="H60" s="36" t="s">
        <v>125</v>
      </c>
      <c r="I60" s="6" t="s">
        <v>146</v>
      </c>
      <c r="J60" s="6">
        <v>10</v>
      </c>
    </row>
    <row r="61" spans="1:10" x14ac:dyDescent="0.2">
      <c r="A61" s="6" t="s">
        <v>449</v>
      </c>
      <c r="B61" s="6"/>
      <c r="C61" s="6"/>
      <c r="D61" s="6"/>
      <c r="E61" s="6"/>
      <c r="F61" s="6"/>
      <c r="G61" s="6"/>
      <c r="H61" s="6"/>
      <c r="I61" s="6"/>
      <c r="J61" s="6">
        <v>21</v>
      </c>
    </row>
    <row r="62" spans="1:10" x14ac:dyDescent="0.2">
      <c r="A62" s="6" t="s">
        <v>381</v>
      </c>
      <c r="B62" s="35">
        <v>26</v>
      </c>
      <c r="C62" s="6" t="s">
        <v>522</v>
      </c>
      <c r="D62" s="6">
        <v>0</v>
      </c>
      <c r="E62" s="6">
        <v>0</v>
      </c>
      <c r="F62" s="38">
        <v>0</v>
      </c>
      <c r="G62" s="37">
        <v>0</v>
      </c>
      <c r="H62" s="36" t="s">
        <v>28</v>
      </c>
      <c r="I62" s="36" t="s">
        <v>146</v>
      </c>
      <c r="J62" s="6">
        <v>6</v>
      </c>
    </row>
    <row r="63" spans="1:10" x14ac:dyDescent="0.2">
      <c r="A63" s="6" t="s">
        <v>450</v>
      </c>
      <c r="B63" s="6"/>
      <c r="C63" s="6"/>
      <c r="D63" s="6"/>
      <c r="E63" s="6"/>
      <c r="F63" s="6"/>
      <c r="G63" s="6"/>
      <c r="H63" s="6"/>
      <c r="I63" s="6"/>
      <c r="J63" s="6">
        <v>6</v>
      </c>
    </row>
    <row r="64" spans="1:10" x14ac:dyDescent="0.2">
      <c r="A64" s="6" t="s">
        <v>356</v>
      </c>
      <c r="B64" s="6"/>
      <c r="C64" s="6"/>
      <c r="D64" s="6"/>
      <c r="E64" s="6"/>
      <c r="F64" s="6"/>
      <c r="G64" s="6"/>
      <c r="H64" s="6"/>
      <c r="I64" s="6"/>
      <c r="J64" s="6">
        <v>249</v>
      </c>
    </row>
  </sheetData>
  <pageMargins left="0.25" right="0.25" top="0.75" bottom="0.75" header="0.3" footer="0.3"/>
  <pageSetup paperSize="9" scale="67"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F1E2C-FC5D-4F84-AA33-25D14C54997C}">
  <sheetPr>
    <pageSetUpPr fitToPage="1"/>
  </sheetPr>
  <dimension ref="A1:L98"/>
  <sheetViews>
    <sheetView workbookViewId="0">
      <selection activeCell="C1" sqref="C1:C1048576"/>
    </sheetView>
  </sheetViews>
  <sheetFormatPr defaultColWidth="10.89453125" defaultRowHeight="17.100000000000001" customHeight="1" x14ac:dyDescent="0.2"/>
  <cols>
    <col min="1" max="1" width="12.64453125" style="23" bestFit="1" customWidth="1"/>
    <col min="2" max="2" width="15.6015625" style="23" bestFit="1" customWidth="1"/>
    <col min="3" max="3" width="12.9140625" style="23" bestFit="1" customWidth="1"/>
    <col min="4" max="4" width="21.25390625" style="23" bestFit="1" customWidth="1"/>
    <col min="5" max="5" width="15.33203125" style="23" bestFit="1" customWidth="1"/>
    <col min="6" max="6" width="13.5859375" style="26" bestFit="1" customWidth="1"/>
    <col min="7" max="7" width="9.14453125" style="26" bestFit="1" customWidth="1"/>
    <col min="8" max="8" width="45.87109375" style="25" bestFit="1" customWidth="1"/>
    <col min="9" max="9" width="20.58203125" style="25" customWidth="1"/>
    <col min="10" max="10" width="17.08203125" style="26" customWidth="1"/>
    <col min="11" max="11" width="22.734375" style="26" customWidth="1"/>
    <col min="12" max="12" width="16.54296875" style="26" bestFit="1" customWidth="1"/>
    <col min="13" max="16384" width="10.89453125" style="23"/>
  </cols>
  <sheetData>
    <row r="1" spans="1:12" ht="17.100000000000001" customHeight="1" x14ac:dyDescent="0.25">
      <c r="A1" s="39" t="s">
        <v>18</v>
      </c>
      <c r="B1" s="39" t="s">
        <v>12</v>
      </c>
      <c r="C1" s="39" t="s">
        <v>17</v>
      </c>
      <c r="D1" s="39" t="s">
        <v>8</v>
      </c>
      <c r="E1" s="39" t="s">
        <v>11</v>
      </c>
      <c r="F1" s="40" t="s">
        <v>47</v>
      </c>
      <c r="G1" s="40" t="s">
        <v>358</v>
      </c>
      <c r="H1" s="41" t="s">
        <v>30</v>
      </c>
      <c r="I1" s="40" t="s">
        <v>51</v>
      </c>
      <c r="J1" s="40" t="s">
        <v>53</v>
      </c>
      <c r="K1" s="40" t="s">
        <v>55</v>
      </c>
      <c r="L1" s="40" t="s">
        <v>37</v>
      </c>
    </row>
    <row r="2" spans="1:12" ht="17.100000000000001" customHeight="1" x14ac:dyDescent="0.2">
      <c r="A2" s="42">
        <v>1</v>
      </c>
      <c r="B2" s="23" t="s">
        <v>139</v>
      </c>
      <c r="C2" s="43" t="s">
        <v>182</v>
      </c>
      <c r="D2" s="23" t="s">
        <v>152</v>
      </c>
      <c r="E2" s="23" t="s">
        <v>146</v>
      </c>
      <c r="F2" s="44">
        <v>17</v>
      </c>
      <c r="G2" s="23">
        <v>2</v>
      </c>
      <c r="H2" s="23" t="s">
        <v>200</v>
      </c>
      <c r="I2" s="23" t="s">
        <v>251</v>
      </c>
      <c r="J2" s="23" t="s">
        <v>255</v>
      </c>
      <c r="K2" s="23" t="s">
        <v>76</v>
      </c>
      <c r="L2" s="23" t="s">
        <v>28</v>
      </c>
    </row>
    <row r="3" spans="1:12" ht="17.100000000000001" customHeight="1" x14ac:dyDescent="0.2">
      <c r="A3" s="42">
        <v>1</v>
      </c>
      <c r="B3" s="23" t="s">
        <v>139</v>
      </c>
      <c r="C3" s="43" t="s">
        <v>182</v>
      </c>
      <c r="D3" s="23" t="s">
        <v>152</v>
      </c>
      <c r="E3" s="23" t="s">
        <v>146</v>
      </c>
      <c r="F3" s="44">
        <v>51</v>
      </c>
      <c r="G3" s="23">
        <v>2</v>
      </c>
      <c r="H3" s="23" t="s">
        <v>463</v>
      </c>
      <c r="I3" s="23" t="s">
        <v>50</v>
      </c>
      <c r="J3" s="23" t="s">
        <v>255</v>
      </c>
      <c r="K3" s="23" t="s">
        <v>287</v>
      </c>
      <c r="L3" s="23" t="s">
        <v>28</v>
      </c>
    </row>
    <row r="4" spans="1:12" ht="17.100000000000001" customHeight="1" x14ac:dyDescent="0.2">
      <c r="A4" s="42">
        <v>1</v>
      </c>
      <c r="B4" s="23" t="s">
        <v>139</v>
      </c>
      <c r="C4" s="43" t="s">
        <v>183</v>
      </c>
      <c r="D4" s="23" t="s">
        <v>152</v>
      </c>
      <c r="E4" s="23" t="s">
        <v>146</v>
      </c>
      <c r="F4" s="44">
        <v>40</v>
      </c>
      <c r="G4" s="23">
        <v>2</v>
      </c>
      <c r="H4" s="23" t="s">
        <v>405</v>
      </c>
      <c r="I4" s="23" t="s">
        <v>50</v>
      </c>
      <c r="J4" s="23" t="s">
        <v>274</v>
      </c>
      <c r="K4" s="23" t="s">
        <v>271</v>
      </c>
      <c r="L4" s="23" t="s">
        <v>338</v>
      </c>
    </row>
    <row r="5" spans="1:12" ht="17.100000000000001" customHeight="1" x14ac:dyDescent="0.2">
      <c r="A5" s="42">
        <v>1</v>
      </c>
      <c r="B5" s="23" t="s">
        <v>139</v>
      </c>
      <c r="C5" s="43" t="s">
        <v>183</v>
      </c>
      <c r="D5" s="23" t="s">
        <v>152</v>
      </c>
      <c r="E5" s="23" t="s">
        <v>146</v>
      </c>
      <c r="F5" s="44">
        <v>50</v>
      </c>
      <c r="G5" s="23">
        <v>2</v>
      </c>
      <c r="H5" s="23" t="s">
        <v>460</v>
      </c>
      <c r="I5" s="23" t="s">
        <v>50</v>
      </c>
      <c r="J5" s="23" t="s">
        <v>274</v>
      </c>
      <c r="K5" s="23" t="s">
        <v>287</v>
      </c>
      <c r="L5" s="23" t="s">
        <v>318</v>
      </c>
    </row>
    <row r="6" spans="1:12" ht="17.100000000000001" customHeight="1" x14ac:dyDescent="0.2">
      <c r="A6" s="42">
        <v>1</v>
      </c>
      <c r="B6" s="23" t="s">
        <v>139</v>
      </c>
      <c r="C6" s="43" t="s">
        <v>184</v>
      </c>
      <c r="D6" s="23" t="s">
        <v>151</v>
      </c>
      <c r="E6" s="23" t="s">
        <v>146</v>
      </c>
      <c r="F6" s="44">
        <v>7</v>
      </c>
      <c r="G6" s="23">
        <v>10</v>
      </c>
      <c r="H6" s="23" t="s">
        <v>115</v>
      </c>
      <c r="I6" s="23" t="s">
        <v>132</v>
      </c>
      <c r="J6" s="23">
        <v>3</v>
      </c>
      <c r="K6" s="23">
        <v>0</v>
      </c>
      <c r="L6" s="23" t="s">
        <v>72</v>
      </c>
    </row>
    <row r="7" spans="1:12" ht="17.100000000000001" customHeight="1" x14ac:dyDescent="0.2">
      <c r="A7" s="42">
        <v>1</v>
      </c>
      <c r="B7" s="23" t="s">
        <v>139</v>
      </c>
      <c r="C7" s="43" t="s">
        <v>179</v>
      </c>
      <c r="D7" s="23" t="s">
        <v>151</v>
      </c>
      <c r="E7" s="23" t="s">
        <v>146</v>
      </c>
      <c r="F7" s="44">
        <v>1</v>
      </c>
      <c r="G7" s="23">
        <v>1</v>
      </c>
      <c r="H7" s="23" t="s">
        <v>38</v>
      </c>
      <c r="I7" s="23" t="s">
        <v>50</v>
      </c>
      <c r="J7" s="23" t="s">
        <v>3</v>
      </c>
      <c r="K7" s="23" t="s">
        <v>56</v>
      </c>
      <c r="L7" s="23" t="s">
        <v>28</v>
      </c>
    </row>
    <row r="8" spans="1:12" ht="17.100000000000001" customHeight="1" x14ac:dyDescent="0.2">
      <c r="A8" s="42">
        <v>1</v>
      </c>
      <c r="B8" s="23" t="s">
        <v>139</v>
      </c>
      <c r="C8" s="43" t="s">
        <v>179</v>
      </c>
      <c r="D8" s="23" t="s">
        <v>151</v>
      </c>
      <c r="E8" s="23" t="s">
        <v>146</v>
      </c>
      <c r="F8" s="44">
        <v>3</v>
      </c>
      <c r="G8" s="23">
        <v>1</v>
      </c>
      <c r="H8" s="23" t="s">
        <v>88</v>
      </c>
      <c r="I8" s="23" t="s">
        <v>92</v>
      </c>
      <c r="J8" s="23" t="s">
        <v>3</v>
      </c>
      <c r="K8" s="23" t="s">
        <v>76</v>
      </c>
      <c r="L8" s="23" t="s">
        <v>90</v>
      </c>
    </row>
    <row r="9" spans="1:12" ht="17.100000000000001" customHeight="1" x14ac:dyDescent="0.2">
      <c r="A9" s="42">
        <v>1</v>
      </c>
      <c r="B9" s="23" t="s">
        <v>139</v>
      </c>
      <c r="C9" s="43" t="s">
        <v>179</v>
      </c>
      <c r="D9" s="23" t="s">
        <v>151</v>
      </c>
      <c r="E9" s="23" t="s">
        <v>146</v>
      </c>
      <c r="F9" s="44">
        <v>6</v>
      </c>
      <c r="G9" s="23">
        <v>1</v>
      </c>
      <c r="H9" s="23" t="s">
        <v>439</v>
      </c>
      <c r="I9" s="23" t="s">
        <v>50</v>
      </c>
      <c r="J9" s="23" t="s">
        <v>3</v>
      </c>
      <c r="K9" s="23" t="s">
        <v>56</v>
      </c>
      <c r="L9" s="23" t="s">
        <v>28</v>
      </c>
    </row>
    <row r="10" spans="1:12" s="24" customFormat="1" ht="17.100000000000001" customHeight="1" x14ac:dyDescent="0.2">
      <c r="A10" s="42">
        <v>1</v>
      </c>
      <c r="B10" s="23" t="s">
        <v>139</v>
      </c>
      <c r="C10" s="43" t="s">
        <v>180</v>
      </c>
      <c r="D10" s="23" t="s">
        <v>152</v>
      </c>
      <c r="E10" s="23" t="s">
        <v>146</v>
      </c>
      <c r="F10" s="44">
        <v>4</v>
      </c>
      <c r="G10" s="23">
        <v>3</v>
      </c>
      <c r="H10" s="23" t="s">
        <v>260</v>
      </c>
      <c r="I10" s="23" t="s">
        <v>106</v>
      </c>
      <c r="J10" s="23">
        <v>2</v>
      </c>
      <c r="K10" s="23" t="s">
        <v>100</v>
      </c>
      <c r="L10" s="23" t="s">
        <v>108</v>
      </c>
    </row>
    <row r="11" spans="1:12" ht="17.100000000000001" customHeight="1" x14ac:dyDescent="0.2">
      <c r="A11" s="42">
        <v>1</v>
      </c>
      <c r="B11" s="23" t="s">
        <v>139</v>
      </c>
      <c r="C11" s="43" t="s">
        <v>181</v>
      </c>
      <c r="D11" s="23" t="s">
        <v>152</v>
      </c>
      <c r="E11" s="23" t="s">
        <v>146</v>
      </c>
      <c r="F11" s="44">
        <v>41</v>
      </c>
      <c r="G11" s="23">
        <v>10</v>
      </c>
      <c r="H11" s="23" t="s">
        <v>411</v>
      </c>
      <c r="I11" s="23" t="s">
        <v>132</v>
      </c>
      <c r="J11" s="23" t="s">
        <v>167</v>
      </c>
      <c r="K11" s="23" t="s">
        <v>100</v>
      </c>
      <c r="L11" s="23" t="s">
        <v>125</v>
      </c>
    </row>
    <row r="12" spans="1:12" ht="17.100000000000001" customHeight="1" x14ac:dyDescent="0.2">
      <c r="A12" s="42">
        <v>1</v>
      </c>
      <c r="B12" s="23" t="s">
        <v>139</v>
      </c>
      <c r="C12" s="43" t="s">
        <v>181</v>
      </c>
      <c r="D12" s="23" t="s">
        <v>152</v>
      </c>
      <c r="E12" s="23" t="s">
        <v>146</v>
      </c>
      <c r="F12" s="44">
        <v>42</v>
      </c>
      <c r="G12" s="23">
        <v>2</v>
      </c>
      <c r="H12" s="23" t="s">
        <v>414</v>
      </c>
      <c r="I12" s="23" t="s">
        <v>418</v>
      </c>
      <c r="J12" s="23" t="s">
        <v>274</v>
      </c>
      <c r="K12" s="23" t="s">
        <v>100</v>
      </c>
      <c r="L12" s="23" t="s">
        <v>125</v>
      </c>
    </row>
    <row r="13" spans="1:12" ht="17.100000000000001" customHeight="1" x14ac:dyDescent="0.2">
      <c r="A13" s="45" t="s">
        <v>360</v>
      </c>
      <c r="B13" s="45"/>
      <c r="C13" s="45"/>
      <c r="D13" s="45"/>
      <c r="E13" s="45"/>
      <c r="F13" s="45"/>
      <c r="G13" s="45"/>
      <c r="H13" s="45"/>
      <c r="I13" s="45"/>
      <c r="J13" s="45"/>
      <c r="K13" s="45"/>
      <c r="L13" s="45"/>
    </row>
    <row r="14" spans="1:12" ht="17.100000000000001" customHeight="1" x14ac:dyDescent="0.2">
      <c r="A14" s="42">
        <v>2</v>
      </c>
      <c r="B14" s="23" t="s">
        <v>139</v>
      </c>
      <c r="C14" s="43" t="s">
        <v>188</v>
      </c>
      <c r="D14" s="23" t="s">
        <v>428</v>
      </c>
      <c r="E14" s="23" t="s">
        <v>146</v>
      </c>
      <c r="F14" s="44">
        <v>16</v>
      </c>
      <c r="G14" s="23">
        <v>1</v>
      </c>
      <c r="H14" s="23" t="s">
        <v>199</v>
      </c>
      <c r="I14" s="23" t="s">
        <v>353</v>
      </c>
      <c r="J14" s="23">
        <v>0</v>
      </c>
      <c r="K14" s="23" t="s">
        <v>76</v>
      </c>
      <c r="L14" s="23" t="s">
        <v>76</v>
      </c>
    </row>
    <row r="15" spans="1:12" ht="17.100000000000001" customHeight="1" x14ac:dyDescent="0.2">
      <c r="A15" s="42">
        <v>2</v>
      </c>
      <c r="B15" s="23" t="s">
        <v>139</v>
      </c>
      <c r="C15" s="43" t="s">
        <v>189</v>
      </c>
      <c r="D15" s="23" t="s">
        <v>525</v>
      </c>
      <c r="E15" s="23" t="s">
        <v>146</v>
      </c>
      <c r="F15" s="44" t="s">
        <v>266</v>
      </c>
      <c r="G15" s="23" t="s">
        <v>359</v>
      </c>
      <c r="H15" s="23" t="s">
        <v>267</v>
      </c>
      <c r="I15" s="23">
        <v>0</v>
      </c>
      <c r="J15" s="23">
        <v>0</v>
      </c>
      <c r="K15" s="23">
        <v>0</v>
      </c>
      <c r="L15" s="23">
        <v>0</v>
      </c>
    </row>
    <row r="16" spans="1:12" ht="17.100000000000001" customHeight="1" x14ac:dyDescent="0.2">
      <c r="A16" s="42">
        <v>2</v>
      </c>
      <c r="B16" s="23" t="s">
        <v>139</v>
      </c>
      <c r="C16" s="43" t="s">
        <v>190</v>
      </c>
      <c r="D16" s="23" t="s">
        <v>525</v>
      </c>
      <c r="E16" s="23" t="s">
        <v>146</v>
      </c>
      <c r="F16" s="44" t="s">
        <v>266</v>
      </c>
      <c r="G16" s="23" t="s">
        <v>359</v>
      </c>
      <c r="H16" s="23" t="s">
        <v>267</v>
      </c>
      <c r="I16" s="23">
        <v>0</v>
      </c>
      <c r="J16" s="23">
        <v>0</v>
      </c>
      <c r="K16" s="23">
        <v>0</v>
      </c>
      <c r="L16" s="23">
        <v>0</v>
      </c>
    </row>
    <row r="17" spans="1:12" ht="17.100000000000001" customHeight="1" x14ac:dyDescent="0.2">
      <c r="A17" s="42">
        <v>2</v>
      </c>
      <c r="B17" s="23" t="s">
        <v>139</v>
      </c>
      <c r="C17" s="43" t="s">
        <v>185</v>
      </c>
      <c r="D17" s="23" t="s">
        <v>151</v>
      </c>
      <c r="E17" s="23" t="s">
        <v>146</v>
      </c>
      <c r="F17" s="44">
        <v>2</v>
      </c>
      <c r="G17" s="23">
        <v>1</v>
      </c>
      <c r="H17" s="23" t="s">
        <v>45</v>
      </c>
      <c r="I17" s="23" t="s">
        <v>50</v>
      </c>
      <c r="J17" s="23" t="s">
        <v>3</v>
      </c>
      <c r="K17" s="23" t="s">
        <v>56</v>
      </c>
      <c r="L17" s="23" t="s">
        <v>28</v>
      </c>
    </row>
    <row r="18" spans="1:12" ht="17.100000000000001" customHeight="1" x14ac:dyDescent="0.2">
      <c r="A18" s="42">
        <v>2</v>
      </c>
      <c r="B18" s="23" t="s">
        <v>139</v>
      </c>
      <c r="C18" s="43" t="s">
        <v>185</v>
      </c>
      <c r="D18" s="23" t="s">
        <v>151</v>
      </c>
      <c r="E18" s="23" t="s">
        <v>146</v>
      </c>
      <c r="F18" s="44">
        <v>49</v>
      </c>
      <c r="G18" s="23">
        <v>1</v>
      </c>
      <c r="H18" s="23" t="s">
        <v>464</v>
      </c>
      <c r="I18" s="23" t="s">
        <v>50</v>
      </c>
      <c r="J18" s="23" t="s">
        <v>274</v>
      </c>
      <c r="K18" s="23" t="s">
        <v>468</v>
      </c>
      <c r="L18" s="23" t="s">
        <v>56</v>
      </c>
    </row>
    <row r="19" spans="1:12" ht="17.100000000000001" customHeight="1" x14ac:dyDescent="0.2">
      <c r="A19" s="42">
        <v>2</v>
      </c>
      <c r="B19" s="23" t="s">
        <v>139</v>
      </c>
      <c r="C19" s="43" t="s">
        <v>186</v>
      </c>
      <c r="D19" s="23" t="s">
        <v>525</v>
      </c>
      <c r="E19" s="23" t="s">
        <v>29</v>
      </c>
      <c r="F19" s="44" t="s">
        <v>39</v>
      </c>
      <c r="G19" s="23" t="s">
        <v>359</v>
      </c>
      <c r="H19" s="23" t="s">
        <v>40</v>
      </c>
      <c r="I19" s="23">
        <v>0</v>
      </c>
      <c r="J19" s="23">
        <v>0</v>
      </c>
      <c r="K19" s="23">
        <v>0</v>
      </c>
      <c r="L19" s="23">
        <v>0</v>
      </c>
    </row>
    <row r="20" spans="1:12" ht="17.100000000000001" customHeight="1" x14ac:dyDescent="0.2">
      <c r="A20" s="42">
        <v>2</v>
      </c>
      <c r="B20" s="23" t="s">
        <v>139</v>
      </c>
      <c r="C20" s="43" t="s">
        <v>187</v>
      </c>
      <c r="D20" s="23" t="s">
        <v>525</v>
      </c>
      <c r="E20" s="23" t="s">
        <v>29</v>
      </c>
      <c r="F20" s="44" t="s">
        <v>39</v>
      </c>
      <c r="G20" s="23" t="s">
        <v>359</v>
      </c>
      <c r="H20" s="23" t="s">
        <v>40</v>
      </c>
      <c r="I20" s="23">
        <v>0</v>
      </c>
      <c r="J20" s="23">
        <v>0</v>
      </c>
      <c r="K20" s="23">
        <v>0</v>
      </c>
      <c r="L20" s="23">
        <v>0</v>
      </c>
    </row>
    <row r="21" spans="1:12" ht="17.100000000000001" customHeight="1" x14ac:dyDescent="0.2">
      <c r="A21" s="45" t="s">
        <v>366</v>
      </c>
      <c r="B21" s="45"/>
      <c r="C21" s="45"/>
      <c r="D21" s="45"/>
      <c r="E21" s="45"/>
      <c r="F21" s="45"/>
      <c r="G21" s="45"/>
      <c r="H21" s="45"/>
      <c r="I21" s="45"/>
      <c r="J21" s="45"/>
      <c r="K21" s="45"/>
      <c r="L21" s="45"/>
    </row>
    <row r="22" spans="1:12" ht="17.100000000000001" customHeight="1" x14ac:dyDescent="0.2">
      <c r="A22" s="42">
        <v>3</v>
      </c>
      <c r="B22" s="23" t="s">
        <v>139</v>
      </c>
      <c r="C22" s="43" t="s">
        <v>196</v>
      </c>
      <c r="D22" s="23" t="s">
        <v>152</v>
      </c>
      <c r="E22" s="23" t="s">
        <v>146</v>
      </c>
      <c r="F22" s="44">
        <v>14</v>
      </c>
      <c r="G22" s="23">
        <v>2</v>
      </c>
      <c r="H22" s="23" t="s">
        <v>202</v>
      </c>
      <c r="I22" s="23" t="s">
        <v>251</v>
      </c>
      <c r="J22" s="23" t="s">
        <v>255</v>
      </c>
      <c r="K22" s="23" t="s">
        <v>76</v>
      </c>
      <c r="L22" s="23" t="s">
        <v>28</v>
      </c>
    </row>
    <row r="23" spans="1:12" ht="17.100000000000001" customHeight="1" x14ac:dyDescent="0.2">
      <c r="A23" s="42">
        <v>3</v>
      </c>
      <c r="B23" s="23" t="s">
        <v>139</v>
      </c>
      <c r="C23" s="43" t="s">
        <v>196</v>
      </c>
      <c r="D23" s="23" t="s">
        <v>152</v>
      </c>
      <c r="E23" s="23" t="s">
        <v>146</v>
      </c>
      <c r="F23" s="44">
        <v>51</v>
      </c>
      <c r="G23" s="23">
        <v>2</v>
      </c>
      <c r="H23" s="23" t="s">
        <v>463</v>
      </c>
      <c r="I23" s="23" t="s">
        <v>50</v>
      </c>
      <c r="J23" s="23" t="s">
        <v>255</v>
      </c>
      <c r="K23" s="23" t="s">
        <v>287</v>
      </c>
      <c r="L23" s="23" t="s">
        <v>28</v>
      </c>
    </row>
    <row r="24" spans="1:12" ht="17.100000000000001" customHeight="1" x14ac:dyDescent="0.2">
      <c r="A24" s="42">
        <v>3</v>
      </c>
      <c r="B24" s="23" t="s">
        <v>139</v>
      </c>
      <c r="C24" s="43" t="s">
        <v>197</v>
      </c>
      <c r="D24" s="23" t="s">
        <v>152</v>
      </c>
      <c r="E24" s="23" t="s">
        <v>146</v>
      </c>
      <c r="F24" s="44">
        <v>18</v>
      </c>
      <c r="G24" s="23">
        <v>2</v>
      </c>
      <c r="H24" s="23" t="s">
        <v>201</v>
      </c>
      <c r="I24" s="23" t="s">
        <v>272</v>
      </c>
      <c r="J24" s="23" t="s">
        <v>274</v>
      </c>
      <c r="K24" s="23" t="s">
        <v>271</v>
      </c>
      <c r="L24" s="23" t="s">
        <v>28</v>
      </c>
    </row>
    <row r="25" spans="1:12" ht="17.100000000000001" customHeight="1" x14ac:dyDescent="0.2">
      <c r="A25" s="42">
        <v>3</v>
      </c>
      <c r="B25" s="23" t="s">
        <v>139</v>
      </c>
      <c r="C25" s="43" t="s">
        <v>197</v>
      </c>
      <c r="D25" s="23" t="s">
        <v>152</v>
      </c>
      <c r="E25" s="23" t="s">
        <v>146</v>
      </c>
      <c r="F25" s="44">
        <v>50</v>
      </c>
      <c r="G25" s="23">
        <v>2</v>
      </c>
      <c r="H25" s="23" t="s">
        <v>460</v>
      </c>
      <c r="I25" s="23" t="s">
        <v>50</v>
      </c>
      <c r="J25" s="23" t="s">
        <v>274</v>
      </c>
      <c r="K25" s="23" t="s">
        <v>287</v>
      </c>
      <c r="L25" s="23" t="s">
        <v>318</v>
      </c>
    </row>
    <row r="26" spans="1:12" ht="17.100000000000001" customHeight="1" x14ac:dyDescent="0.2">
      <c r="A26" s="42">
        <v>3</v>
      </c>
      <c r="B26" s="23" t="s">
        <v>139</v>
      </c>
      <c r="C26" s="43" t="s">
        <v>198</v>
      </c>
      <c r="D26" s="23" t="s">
        <v>151</v>
      </c>
      <c r="E26" s="23" t="s">
        <v>146</v>
      </c>
      <c r="F26" s="44">
        <v>8</v>
      </c>
      <c r="G26" s="23">
        <v>10</v>
      </c>
      <c r="H26" s="23" t="s">
        <v>116</v>
      </c>
      <c r="I26" s="23" t="s">
        <v>132</v>
      </c>
      <c r="J26" s="23">
        <v>3</v>
      </c>
      <c r="K26" s="23">
        <v>0</v>
      </c>
      <c r="L26" s="23" t="s">
        <v>72</v>
      </c>
    </row>
    <row r="27" spans="1:12" ht="17.100000000000001" customHeight="1" x14ac:dyDescent="0.2">
      <c r="A27" s="42">
        <v>3</v>
      </c>
      <c r="B27" s="23" t="s">
        <v>139</v>
      </c>
      <c r="C27" s="43" t="s">
        <v>191</v>
      </c>
      <c r="D27" s="23" t="s">
        <v>151</v>
      </c>
      <c r="E27" s="23" t="s">
        <v>146</v>
      </c>
      <c r="F27" s="44">
        <v>1</v>
      </c>
      <c r="G27" s="23">
        <v>1</v>
      </c>
      <c r="H27" s="23" t="s">
        <v>38</v>
      </c>
      <c r="I27" s="23" t="s">
        <v>50</v>
      </c>
      <c r="J27" s="23" t="s">
        <v>3</v>
      </c>
      <c r="K27" s="23" t="s">
        <v>56</v>
      </c>
      <c r="L27" s="23" t="s">
        <v>28</v>
      </c>
    </row>
    <row r="28" spans="1:12" ht="17.100000000000001" customHeight="1" x14ac:dyDescent="0.2">
      <c r="A28" s="42">
        <v>3</v>
      </c>
      <c r="B28" s="23" t="s">
        <v>139</v>
      </c>
      <c r="C28" s="43" t="s">
        <v>191</v>
      </c>
      <c r="D28" s="23" t="s">
        <v>151</v>
      </c>
      <c r="E28" s="23" t="s">
        <v>146</v>
      </c>
      <c r="F28" s="44">
        <v>3</v>
      </c>
      <c r="G28" s="23">
        <v>1</v>
      </c>
      <c r="H28" s="23" t="s">
        <v>88</v>
      </c>
      <c r="I28" s="23" t="s">
        <v>92</v>
      </c>
      <c r="J28" s="23" t="s">
        <v>3</v>
      </c>
      <c r="K28" s="23" t="s">
        <v>76</v>
      </c>
      <c r="L28" s="23" t="s">
        <v>90</v>
      </c>
    </row>
    <row r="29" spans="1:12" ht="17.100000000000001" customHeight="1" x14ac:dyDescent="0.2">
      <c r="A29" s="42">
        <v>3</v>
      </c>
      <c r="B29" s="23" t="s">
        <v>139</v>
      </c>
      <c r="C29" s="43" t="s">
        <v>191</v>
      </c>
      <c r="D29" s="23" t="s">
        <v>151</v>
      </c>
      <c r="E29" s="23" t="s">
        <v>146</v>
      </c>
      <c r="F29" s="44">
        <v>48</v>
      </c>
      <c r="G29" s="23">
        <v>1</v>
      </c>
      <c r="H29" s="23" t="s">
        <v>429</v>
      </c>
      <c r="I29" s="23" t="s">
        <v>50</v>
      </c>
      <c r="J29" s="23" t="s">
        <v>3</v>
      </c>
      <c r="K29" s="23" t="s">
        <v>56</v>
      </c>
      <c r="L29" s="23" t="s">
        <v>28</v>
      </c>
    </row>
    <row r="30" spans="1:12" ht="17.100000000000001" customHeight="1" x14ac:dyDescent="0.2">
      <c r="A30" s="42">
        <v>3</v>
      </c>
      <c r="B30" s="23" t="s">
        <v>139</v>
      </c>
      <c r="C30" s="43" t="s">
        <v>192</v>
      </c>
      <c r="D30" s="23" t="s">
        <v>152</v>
      </c>
      <c r="E30" s="23" t="s">
        <v>146</v>
      </c>
      <c r="F30" s="44">
        <v>4</v>
      </c>
      <c r="G30" s="23">
        <v>3</v>
      </c>
      <c r="H30" s="23" t="s">
        <v>260</v>
      </c>
      <c r="I30" s="23" t="s">
        <v>106</v>
      </c>
      <c r="J30" s="23">
        <v>2</v>
      </c>
      <c r="K30" s="23" t="s">
        <v>100</v>
      </c>
      <c r="L30" s="23" t="s">
        <v>108</v>
      </c>
    </row>
    <row r="31" spans="1:12" ht="17.100000000000001" customHeight="1" x14ac:dyDescent="0.2">
      <c r="A31" s="42">
        <v>3</v>
      </c>
      <c r="B31" s="23" t="s">
        <v>139</v>
      </c>
      <c r="C31" s="43" t="s">
        <v>193</v>
      </c>
      <c r="D31" s="23" t="s">
        <v>525</v>
      </c>
      <c r="E31" s="23" t="s">
        <v>146</v>
      </c>
      <c r="F31" s="44">
        <v>10</v>
      </c>
      <c r="G31" s="23">
        <v>25</v>
      </c>
      <c r="H31" s="23" t="s">
        <v>154</v>
      </c>
      <c r="I31" s="23" t="s">
        <v>132</v>
      </c>
      <c r="J31" s="23" t="s">
        <v>165</v>
      </c>
      <c r="K31" s="23" t="s">
        <v>168</v>
      </c>
      <c r="L31" s="23" t="s">
        <v>158</v>
      </c>
    </row>
    <row r="32" spans="1:12" ht="17.100000000000001" customHeight="1" x14ac:dyDescent="0.2">
      <c r="A32" s="42">
        <v>3</v>
      </c>
      <c r="B32" s="23" t="s">
        <v>139</v>
      </c>
      <c r="C32" s="43" t="s">
        <v>193</v>
      </c>
      <c r="D32" s="23" t="s">
        <v>525</v>
      </c>
      <c r="E32" s="23" t="s">
        <v>146</v>
      </c>
      <c r="F32" s="44">
        <v>11</v>
      </c>
      <c r="G32" s="23">
        <v>25</v>
      </c>
      <c r="H32" s="23" t="s">
        <v>155</v>
      </c>
      <c r="I32" s="23" t="s">
        <v>96</v>
      </c>
      <c r="J32" s="23" t="s">
        <v>165</v>
      </c>
      <c r="K32" s="23" t="s">
        <v>168</v>
      </c>
      <c r="L32" s="23" t="s">
        <v>160</v>
      </c>
    </row>
    <row r="33" spans="1:12" ht="17.100000000000001" customHeight="1" x14ac:dyDescent="0.2">
      <c r="A33" s="45" t="s">
        <v>368</v>
      </c>
      <c r="B33" s="45"/>
      <c r="C33" s="45"/>
      <c r="D33" s="45"/>
      <c r="E33" s="45"/>
      <c r="F33" s="45"/>
      <c r="G33" s="45"/>
      <c r="H33" s="45"/>
      <c r="I33" s="45"/>
      <c r="J33" s="45"/>
      <c r="K33" s="45"/>
      <c r="L33" s="45"/>
    </row>
    <row r="34" spans="1:12" ht="17.100000000000001" customHeight="1" x14ac:dyDescent="0.2">
      <c r="A34" s="42">
        <v>4</v>
      </c>
      <c r="B34" s="23" t="s">
        <v>139</v>
      </c>
      <c r="C34" s="43" t="s">
        <v>148</v>
      </c>
      <c r="D34" s="23" t="s">
        <v>151</v>
      </c>
      <c r="E34" s="23" t="s">
        <v>146</v>
      </c>
      <c r="F34" s="44">
        <v>23</v>
      </c>
      <c r="G34" s="23">
        <v>2</v>
      </c>
      <c r="H34" s="23" t="s">
        <v>506</v>
      </c>
      <c r="I34" s="23" t="s">
        <v>50</v>
      </c>
      <c r="J34" s="23" t="s">
        <v>165</v>
      </c>
      <c r="K34" s="23" t="s">
        <v>338</v>
      </c>
      <c r="L34" s="23" t="s">
        <v>28</v>
      </c>
    </row>
    <row r="35" spans="1:12" ht="17.100000000000001" customHeight="1" x14ac:dyDescent="0.2">
      <c r="A35" s="42">
        <v>4</v>
      </c>
      <c r="B35" s="23" t="s">
        <v>139</v>
      </c>
      <c r="C35" s="43" t="s">
        <v>149</v>
      </c>
      <c r="D35" s="23" t="s">
        <v>152</v>
      </c>
      <c r="E35" s="23" t="s">
        <v>146</v>
      </c>
      <c r="F35" s="44">
        <v>20</v>
      </c>
      <c r="G35" s="23">
        <v>6</v>
      </c>
      <c r="H35" s="23" t="s">
        <v>268</v>
      </c>
      <c r="I35" s="23" t="s">
        <v>172</v>
      </c>
      <c r="J35" s="23" t="s">
        <v>173</v>
      </c>
      <c r="K35" s="23">
        <v>0</v>
      </c>
      <c r="L35" s="23" t="s">
        <v>174</v>
      </c>
    </row>
    <row r="36" spans="1:12" ht="17.100000000000001" customHeight="1" x14ac:dyDescent="0.2">
      <c r="A36" s="42">
        <v>4</v>
      </c>
      <c r="B36" s="23" t="s">
        <v>139</v>
      </c>
      <c r="C36" s="43" t="s">
        <v>150</v>
      </c>
      <c r="D36" s="23" t="s">
        <v>152</v>
      </c>
      <c r="E36" s="23" t="s">
        <v>146</v>
      </c>
      <c r="F36" s="44">
        <v>12</v>
      </c>
      <c r="G36" s="23">
        <v>6</v>
      </c>
      <c r="H36" s="23" t="s">
        <v>156</v>
      </c>
      <c r="I36" s="23" t="s">
        <v>172</v>
      </c>
      <c r="J36" s="23" t="s">
        <v>173</v>
      </c>
      <c r="K36" s="23">
        <v>0</v>
      </c>
      <c r="L36" s="23" t="s">
        <v>174</v>
      </c>
    </row>
    <row r="37" spans="1:12" ht="17.100000000000001" customHeight="1" x14ac:dyDescent="0.2">
      <c r="A37" s="42">
        <v>4</v>
      </c>
      <c r="B37" s="23" t="s">
        <v>139</v>
      </c>
      <c r="C37" s="43" t="s">
        <v>140</v>
      </c>
      <c r="D37" s="23" t="s">
        <v>151</v>
      </c>
      <c r="E37" s="23" t="s">
        <v>146</v>
      </c>
      <c r="F37" s="44">
        <v>2</v>
      </c>
      <c r="G37" s="23">
        <v>1</v>
      </c>
      <c r="H37" s="23" t="s">
        <v>45</v>
      </c>
      <c r="I37" s="23" t="s">
        <v>50</v>
      </c>
      <c r="J37" s="23" t="s">
        <v>3</v>
      </c>
      <c r="K37" s="23" t="s">
        <v>56</v>
      </c>
      <c r="L37" s="23" t="s">
        <v>28</v>
      </c>
    </row>
    <row r="38" spans="1:12" ht="17.100000000000001" customHeight="1" x14ac:dyDescent="0.2">
      <c r="A38" s="42">
        <v>4</v>
      </c>
      <c r="B38" s="23" t="s">
        <v>139</v>
      </c>
      <c r="C38" s="43" t="s">
        <v>140</v>
      </c>
      <c r="D38" s="23" t="s">
        <v>151</v>
      </c>
      <c r="E38" s="23" t="s">
        <v>146</v>
      </c>
      <c r="F38" s="44">
        <v>49</v>
      </c>
      <c r="G38" s="23">
        <v>1</v>
      </c>
      <c r="H38" s="23" t="s">
        <v>464</v>
      </c>
      <c r="I38" s="23" t="s">
        <v>50</v>
      </c>
      <c r="J38" s="23" t="s">
        <v>274</v>
      </c>
      <c r="K38" s="23" t="s">
        <v>468</v>
      </c>
      <c r="L38" s="23" t="s">
        <v>56</v>
      </c>
    </row>
    <row r="39" spans="1:12" ht="17.100000000000001" customHeight="1" x14ac:dyDescent="0.2">
      <c r="A39" s="42">
        <v>4</v>
      </c>
      <c r="B39" s="23" t="s">
        <v>139</v>
      </c>
      <c r="C39" s="43" t="s">
        <v>142</v>
      </c>
      <c r="D39" s="23" t="s">
        <v>525</v>
      </c>
      <c r="E39" s="23" t="s">
        <v>146</v>
      </c>
      <c r="F39" s="44" t="s">
        <v>39</v>
      </c>
      <c r="G39" s="23" t="s">
        <v>359</v>
      </c>
      <c r="H39" s="23" t="s">
        <v>40</v>
      </c>
      <c r="I39" s="23">
        <v>0</v>
      </c>
      <c r="J39" s="23">
        <v>0</v>
      </c>
      <c r="K39" s="23">
        <v>0</v>
      </c>
      <c r="L39" s="23">
        <v>0</v>
      </c>
    </row>
    <row r="40" spans="1:12" ht="17.100000000000001" customHeight="1" x14ac:dyDescent="0.2">
      <c r="A40" s="42">
        <v>4</v>
      </c>
      <c r="B40" s="23" t="s">
        <v>139</v>
      </c>
      <c r="C40" s="43" t="s">
        <v>143</v>
      </c>
      <c r="D40" s="23" t="s">
        <v>151</v>
      </c>
      <c r="E40" s="23" t="s">
        <v>146</v>
      </c>
      <c r="F40" s="44">
        <v>2</v>
      </c>
      <c r="G40" s="23">
        <v>1</v>
      </c>
      <c r="H40" s="23" t="s">
        <v>45</v>
      </c>
      <c r="I40" s="23" t="s">
        <v>50</v>
      </c>
      <c r="J40" s="23" t="s">
        <v>3</v>
      </c>
      <c r="K40" s="23" t="s">
        <v>56</v>
      </c>
      <c r="L40" s="23" t="s">
        <v>28</v>
      </c>
    </row>
    <row r="41" spans="1:12" ht="17.100000000000001" customHeight="1" x14ac:dyDescent="0.2">
      <c r="A41" s="42">
        <v>4</v>
      </c>
      <c r="B41" s="23" t="s">
        <v>139</v>
      </c>
      <c r="C41" s="43" t="s">
        <v>143</v>
      </c>
      <c r="D41" s="23" t="s">
        <v>151</v>
      </c>
      <c r="E41" s="23" t="s">
        <v>146</v>
      </c>
      <c r="F41" s="44">
        <v>48</v>
      </c>
      <c r="G41" s="23">
        <v>1</v>
      </c>
      <c r="H41" s="23" t="s">
        <v>429</v>
      </c>
      <c r="I41" s="23" t="s">
        <v>50</v>
      </c>
      <c r="J41" s="23" t="s">
        <v>3</v>
      </c>
      <c r="K41" s="23" t="s">
        <v>56</v>
      </c>
      <c r="L41" s="23" t="s">
        <v>28</v>
      </c>
    </row>
    <row r="42" spans="1:12" ht="17.100000000000001" customHeight="1" x14ac:dyDescent="0.2">
      <c r="A42" s="45" t="s">
        <v>367</v>
      </c>
      <c r="B42" s="45"/>
      <c r="C42" s="45"/>
      <c r="D42" s="45"/>
      <c r="E42" s="45"/>
      <c r="F42" s="45"/>
      <c r="G42" s="45"/>
      <c r="H42" s="45"/>
      <c r="I42" s="45"/>
      <c r="J42" s="45"/>
      <c r="K42" s="45"/>
      <c r="L42" s="45"/>
    </row>
    <row r="43" spans="1:12" ht="17.100000000000001" customHeight="1" x14ac:dyDescent="0.2">
      <c r="A43" s="42">
        <v>5</v>
      </c>
      <c r="B43" s="23" t="s">
        <v>13</v>
      </c>
      <c r="C43" s="43" t="s">
        <v>22</v>
      </c>
      <c r="D43" s="23" t="s">
        <v>423</v>
      </c>
      <c r="E43" s="23" t="s">
        <v>146</v>
      </c>
      <c r="F43" s="44" t="s">
        <v>39</v>
      </c>
      <c r="G43" s="23">
        <v>6</v>
      </c>
      <c r="H43" s="23" t="s">
        <v>40</v>
      </c>
      <c r="I43" s="23">
        <v>0</v>
      </c>
      <c r="J43" s="23">
        <v>0</v>
      </c>
      <c r="K43" s="23">
        <v>0</v>
      </c>
      <c r="L43" s="23">
        <v>0</v>
      </c>
    </row>
    <row r="44" spans="1:12" ht="17.100000000000001" customHeight="1" x14ac:dyDescent="0.2">
      <c r="A44" s="42">
        <v>5</v>
      </c>
      <c r="B44" s="23" t="s">
        <v>13</v>
      </c>
      <c r="C44" s="43" t="s">
        <v>23</v>
      </c>
      <c r="D44" s="23" t="s">
        <v>425</v>
      </c>
      <c r="E44" s="23" t="s">
        <v>146</v>
      </c>
      <c r="F44" s="44" t="s">
        <v>39</v>
      </c>
      <c r="G44" s="23">
        <v>6</v>
      </c>
      <c r="H44" s="23" t="s">
        <v>40</v>
      </c>
      <c r="I44" s="23">
        <v>0</v>
      </c>
      <c r="J44" s="23">
        <v>0</v>
      </c>
      <c r="K44" s="23">
        <v>0</v>
      </c>
      <c r="L44" s="23">
        <v>0</v>
      </c>
    </row>
    <row r="45" spans="1:12" ht="17.100000000000001" customHeight="1" x14ac:dyDescent="0.2">
      <c r="A45" s="42">
        <v>5</v>
      </c>
      <c r="B45" s="23" t="s">
        <v>13</v>
      </c>
      <c r="C45" s="43" t="s">
        <v>14</v>
      </c>
      <c r="D45" s="23" t="s">
        <v>423</v>
      </c>
      <c r="E45" s="23" t="s">
        <v>29</v>
      </c>
      <c r="F45" s="44" t="s">
        <v>422</v>
      </c>
      <c r="G45" s="23" t="s">
        <v>359</v>
      </c>
      <c r="H45" s="23" t="s">
        <v>422</v>
      </c>
      <c r="I45" s="23">
        <v>0</v>
      </c>
      <c r="J45" s="23">
        <v>0</v>
      </c>
      <c r="K45" s="23">
        <v>0</v>
      </c>
      <c r="L45" s="23">
        <v>0</v>
      </c>
    </row>
    <row r="46" spans="1:12" ht="17.100000000000001" customHeight="1" x14ac:dyDescent="0.2">
      <c r="A46" s="42">
        <v>5</v>
      </c>
      <c r="B46" s="23" t="s">
        <v>13</v>
      </c>
      <c r="C46" s="43" t="s">
        <v>21</v>
      </c>
      <c r="D46" s="23" t="s">
        <v>424</v>
      </c>
      <c r="E46" s="23" t="s">
        <v>29</v>
      </c>
      <c r="F46" s="44">
        <v>19</v>
      </c>
      <c r="G46" s="23" t="s">
        <v>359</v>
      </c>
      <c r="H46" s="23" t="s">
        <v>248</v>
      </c>
      <c r="I46" s="23" t="s">
        <v>172</v>
      </c>
      <c r="J46" s="23" t="s">
        <v>173</v>
      </c>
      <c r="K46" s="23">
        <v>0</v>
      </c>
      <c r="L46" s="23" t="s">
        <v>174</v>
      </c>
    </row>
    <row r="47" spans="1:12" ht="17.100000000000001" customHeight="1" x14ac:dyDescent="0.2">
      <c r="A47" s="42">
        <v>5</v>
      </c>
      <c r="B47" s="23" t="s">
        <v>13</v>
      </c>
      <c r="C47" s="43" t="s">
        <v>24</v>
      </c>
      <c r="D47" s="23" t="s">
        <v>205</v>
      </c>
      <c r="E47" s="23" t="s">
        <v>29</v>
      </c>
      <c r="F47" s="44" t="s">
        <v>39</v>
      </c>
      <c r="G47" s="23" t="s">
        <v>359</v>
      </c>
      <c r="H47" s="23" t="s">
        <v>40</v>
      </c>
      <c r="I47" s="23">
        <v>0</v>
      </c>
      <c r="J47" s="23">
        <v>0</v>
      </c>
      <c r="K47" s="23">
        <v>0</v>
      </c>
      <c r="L47" s="23">
        <v>0</v>
      </c>
    </row>
    <row r="48" spans="1:12" ht="17.100000000000001" customHeight="1" x14ac:dyDescent="0.2">
      <c r="A48" s="42">
        <v>5</v>
      </c>
      <c r="B48" s="23" t="s">
        <v>13</v>
      </c>
      <c r="C48" s="43" t="s">
        <v>25</v>
      </c>
      <c r="D48" s="23" t="s">
        <v>151</v>
      </c>
      <c r="E48" s="23" t="s">
        <v>146</v>
      </c>
      <c r="F48" s="44">
        <v>1</v>
      </c>
      <c r="G48" s="23">
        <v>1</v>
      </c>
      <c r="H48" s="23" t="s">
        <v>38</v>
      </c>
      <c r="I48" s="23" t="s">
        <v>50</v>
      </c>
      <c r="J48" s="23" t="s">
        <v>3</v>
      </c>
      <c r="K48" s="23" t="s">
        <v>56</v>
      </c>
      <c r="L48" s="23" t="s">
        <v>28</v>
      </c>
    </row>
    <row r="49" spans="1:12" ht="17.100000000000001" customHeight="1" x14ac:dyDescent="0.2">
      <c r="A49" s="42">
        <v>5</v>
      </c>
      <c r="B49" s="23" t="s">
        <v>13</v>
      </c>
      <c r="C49" s="43" t="s">
        <v>25</v>
      </c>
      <c r="D49" s="23" t="s">
        <v>151</v>
      </c>
      <c r="E49" s="23" t="s">
        <v>146</v>
      </c>
      <c r="F49" s="44">
        <v>49</v>
      </c>
      <c r="G49" s="23">
        <v>1</v>
      </c>
      <c r="H49" s="23" t="s">
        <v>464</v>
      </c>
      <c r="I49" s="23" t="s">
        <v>50</v>
      </c>
      <c r="J49" s="23" t="s">
        <v>274</v>
      </c>
      <c r="K49" s="23" t="s">
        <v>468</v>
      </c>
      <c r="L49" s="23" t="s">
        <v>56</v>
      </c>
    </row>
    <row r="50" spans="1:12" ht="17.100000000000001" customHeight="1" x14ac:dyDescent="0.2">
      <c r="A50" s="45" t="s">
        <v>362</v>
      </c>
      <c r="B50" s="45"/>
      <c r="C50" s="45"/>
      <c r="D50" s="45"/>
      <c r="E50" s="45"/>
      <c r="F50" s="45"/>
      <c r="G50" s="45"/>
      <c r="H50" s="45"/>
      <c r="I50" s="45"/>
      <c r="J50" s="45"/>
      <c r="K50" s="45"/>
      <c r="L50" s="45"/>
    </row>
    <row r="51" spans="1:12" ht="17.100000000000001" customHeight="1" x14ac:dyDescent="0.2">
      <c r="A51" s="42">
        <v>6</v>
      </c>
      <c r="B51" s="23" t="s">
        <v>13</v>
      </c>
      <c r="C51" s="43" t="s">
        <v>215</v>
      </c>
      <c r="D51" s="23" t="s">
        <v>433</v>
      </c>
      <c r="E51" s="23" t="s">
        <v>146</v>
      </c>
      <c r="F51" s="44">
        <v>13</v>
      </c>
      <c r="G51" s="23">
        <v>2</v>
      </c>
      <c r="H51" s="23" t="s">
        <v>177</v>
      </c>
      <c r="I51" s="23" t="s">
        <v>96</v>
      </c>
      <c r="J51" s="23" t="s">
        <v>265</v>
      </c>
      <c r="K51" s="23" t="s">
        <v>259</v>
      </c>
      <c r="L51" s="23" t="s">
        <v>262</v>
      </c>
    </row>
    <row r="52" spans="1:12" ht="17.100000000000001" customHeight="1" x14ac:dyDescent="0.2">
      <c r="A52" s="42">
        <v>6</v>
      </c>
      <c r="B52" s="23" t="s">
        <v>13</v>
      </c>
      <c r="C52" s="43" t="s">
        <v>216</v>
      </c>
      <c r="D52" s="23" t="s">
        <v>433</v>
      </c>
      <c r="E52" s="23" t="s">
        <v>146</v>
      </c>
      <c r="F52" s="44">
        <v>37</v>
      </c>
      <c r="G52" s="23">
        <v>2</v>
      </c>
      <c r="H52" s="23" t="s">
        <v>395</v>
      </c>
      <c r="I52" s="23">
        <v>0</v>
      </c>
      <c r="J52" s="23">
        <v>0</v>
      </c>
      <c r="K52" s="23">
        <v>0</v>
      </c>
      <c r="L52" s="23">
        <v>0</v>
      </c>
    </row>
    <row r="53" spans="1:12" ht="17.100000000000001" customHeight="1" x14ac:dyDescent="0.2">
      <c r="A53" s="42">
        <v>6</v>
      </c>
      <c r="B53" s="23" t="s">
        <v>13</v>
      </c>
      <c r="C53" s="43" t="s">
        <v>430</v>
      </c>
      <c r="D53" s="23" t="s">
        <v>433</v>
      </c>
      <c r="E53" s="23" t="s">
        <v>146</v>
      </c>
      <c r="F53" s="44">
        <v>52</v>
      </c>
      <c r="G53" s="23">
        <v>2</v>
      </c>
      <c r="H53" s="23" t="s">
        <v>509</v>
      </c>
      <c r="I53" s="23">
        <v>0</v>
      </c>
      <c r="J53" s="23">
        <v>0</v>
      </c>
      <c r="K53" s="23">
        <v>0</v>
      </c>
      <c r="L53" s="23">
        <v>0</v>
      </c>
    </row>
    <row r="54" spans="1:12" ht="17.100000000000001" customHeight="1" x14ac:dyDescent="0.2">
      <c r="A54" s="42">
        <v>6</v>
      </c>
      <c r="B54" s="23" t="s">
        <v>13</v>
      </c>
      <c r="C54" s="43" t="s">
        <v>524</v>
      </c>
      <c r="D54" s="23" t="s">
        <v>44</v>
      </c>
      <c r="E54" s="23" t="s">
        <v>146</v>
      </c>
      <c r="F54" s="44">
        <v>34</v>
      </c>
      <c r="G54" s="23">
        <v>10</v>
      </c>
      <c r="H54" s="23" t="s">
        <v>339</v>
      </c>
      <c r="I54" s="23" t="s">
        <v>132</v>
      </c>
      <c r="J54" s="23" t="s">
        <v>341</v>
      </c>
      <c r="K54" s="23">
        <v>0</v>
      </c>
      <c r="L54" s="23" t="s">
        <v>342</v>
      </c>
    </row>
    <row r="55" spans="1:12" ht="17.100000000000001" customHeight="1" x14ac:dyDescent="0.2">
      <c r="A55" s="42">
        <v>6</v>
      </c>
      <c r="B55" s="23" t="s">
        <v>13</v>
      </c>
      <c r="C55" s="43" t="s">
        <v>217</v>
      </c>
      <c r="D55" s="23" t="s">
        <v>425</v>
      </c>
      <c r="E55" s="23" t="s">
        <v>146</v>
      </c>
      <c r="F55" s="44">
        <v>10</v>
      </c>
      <c r="G55" s="23">
        <v>2</v>
      </c>
      <c r="H55" s="23" t="s">
        <v>154</v>
      </c>
      <c r="I55" s="23" t="s">
        <v>132</v>
      </c>
      <c r="J55" s="23" t="s">
        <v>165</v>
      </c>
      <c r="K55" s="23" t="s">
        <v>168</v>
      </c>
      <c r="L55" s="23" t="s">
        <v>158</v>
      </c>
    </row>
    <row r="56" spans="1:12" ht="17.100000000000001" customHeight="1" x14ac:dyDescent="0.2">
      <c r="A56" s="42">
        <v>6</v>
      </c>
      <c r="B56" s="23" t="s">
        <v>13</v>
      </c>
      <c r="C56" s="43" t="s">
        <v>218</v>
      </c>
      <c r="D56" s="23" t="s">
        <v>425</v>
      </c>
      <c r="E56" s="23" t="s">
        <v>146</v>
      </c>
      <c r="F56" s="44">
        <v>36</v>
      </c>
      <c r="G56" s="23">
        <v>2</v>
      </c>
      <c r="H56" s="23" t="s">
        <v>348</v>
      </c>
      <c r="I56" s="23" t="s">
        <v>135</v>
      </c>
      <c r="J56" s="23" t="s">
        <v>350</v>
      </c>
      <c r="K56" s="23">
        <v>0</v>
      </c>
      <c r="L56" s="23" t="s">
        <v>351</v>
      </c>
    </row>
    <row r="57" spans="1:12" ht="17.100000000000001" customHeight="1" x14ac:dyDescent="0.2">
      <c r="A57" s="42">
        <v>6</v>
      </c>
      <c r="B57" s="23" t="s">
        <v>13</v>
      </c>
      <c r="C57" s="43" t="s">
        <v>431</v>
      </c>
      <c r="D57" s="23" t="s">
        <v>425</v>
      </c>
      <c r="E57" s="23" t="s">
        <v>146</v>
      </c>
      <c r="F57" s="44">
        <v>11</v>
      </c>
      <c r="G57" s="23">
        <v>2</v>
      </c>
      <c r="H57" s="23" t="s">
        <v>155</v>
      </c>
      <c r="I57" s="23" t="s">
        <v>96</v>
      </c>
      <c r="J57" s="23" t="s">
        <v>165</v>
      </c>
      <c r="K57" s="23" t="s">
        <v>168</v>
      </c>
      <c r="L57" s="23" t="s">
        <v>160</v>
      </c>
    </row>
    <row r="58" spans="1:12" ht="17.100000000000001" customHeight="1" x14ac:dyDescent="0.2">
      <c r="A58" s="42">
        <v>6</v>
      </c>
      <c r="B58" s="23" t="s">
        <v>13</v>
      </c>
      <c r="C58" s="43" t="s">
        <v>214</v>
      </c>
      <c r="D58" s="23" t="s">
        <v>428</v>
      </c>
      <c r="E58" s="23" t="s">
        <v>146</v>
      </c>
      <c r="F58" s="44">
        <v>26</v>
      </c>
      <c r="G58" s="23">
        <v>2</v>
      </c>
      <c r="H58" s="23" t="s">
        <v>522</v>
      </c>
      <c r="I58" s="23">
        <v>0</v>
      </c>
      <c r="J58" s="23">
        <v>0</v>
      </c>
      <c r="K58" s="23">
        <v>0</v>
      </c>
      <c r="L58" s="23" t="s">
        <v>28</v>
      </c>
    </row>
    <row r="59" spans="1:12" ht="17.100000000000001" customHeight="1" x14ac:dyDescent="0.2">
      <c r="A59" s="42">
        <v>6</v>
      </c>
      <c r="B59" s="23" t="s">
        <v>13</v>
      </c>
      <c r="C59" s="43" t="s">
        <v>213</v>
      </c>
      <c r="D59" s="23" t="s">
        <v>428</v>
      </c>
      <c r="E59" s="23" t="s">
        <v>146</v>
      </c>
      <c r="F59" s="44">
        <v>39</v>
      </c>
      <c r="G59" s="23">
        <v>2</v>
      </c>
      <c r="H59" s="23" t="s">
        <v>496</v>
      </c>
      <c r="I59" s="23" t="s">
        <v>132</v>
      </c>
      <c r="J59" s="23" t="s">
        <v>300</v>
      </c>
      <c r="K59" s="23" t="s">
        <v>486</v>
      </c>
      <c r="L59" s="23" t="s">
        <v>486</v>
      </c>
    </row>
    <row r="60" spans="1:12" ht="17.100000000000001" customHeight="1" x14ac:dyDescent="0.2">
      <c r="A60" s="42">
        <v>6</v>
      </c>
      <c r="B60" s="23" t="s">
        <v>13</v>
      </c>
      <c r="C60" s="43" t="s">
        <v>523</v>
      </c>
      <c r="D60" s="23" t="s">
        <v>428</v>
      </c>
      <c r="E60" s="23" t="s">
        <v>146</v>
      </c>
      <c r="F60" s="44">
        <v>5</v>
      </c>
      <c r="G60" s="23">
        <v>2</v>
      </c>
      <c r="H60" s="23" t="s">
        <v>42</v>
      </c>
      <c r="I60" s="23" t="s">
        <v>96</v>
      </c>
      <c r="J60" s="23" t="s">
        <v>3</v>
      </c>
      <c r="K60" s="23" t="s">
        <v>100</v>
      </c>
      <c r="L60" s="23" t="s">
        <v>99</v>
      </c>
    </row>
    <row r="61" spans="1:12" ht="17.100000000000001" customHeight="1" x14ac:dyDescent="0.2">
      <c r="A61" s="45" t="s">
        <v>365</v>
      </c>
      <c r="B61" s="45"/>
      <c r="C61" s="45"/>
      <c r="D61" s="45"/>
      <c r="E61" s="45"/>
      <c r="F61" s="45"/>
      <c r="G61" s="45"/>
      <c r="H61" s="45"/>
      <c r="I61" s="45"/>
      <c r="J61" s="45"/>
      <c r="K61" s="45"/>
      <c r="L61" s="45"/>
    </row>
    <row r="62" spans="1:12" ht="17.100000000000001" customHeight="1" x14ac:dyDescent="0.2">
      <c r="A62" s="42">
        <v>7</v>
      </c>
      <c r="B62" s="23" t="s">
        <v>13</v>
      </c>
      <c r="C62" s="43" t="s">
        <v>221</v>
      </c>
      <c r="D62" s="23" t="s">
        <v>433</v>
      </c>
      <c r="E62" s="23" t="s">
        <v>146</v>
      </c>
      <c r="F62" s="44">
        <v>26</v>
      </c>
      <c r="G62" s="23">
        <v>2</v>
      </c>
      <c r="H62" s="23" t="s">
        <v>522</v>
      </c>
      <c r="I62" s="23">
        <v>0</v>
      </c>
      <c r="J62" s="23">
        <v>0</v>
      </c>
      <c r="K62" s="23">
        <v>0</v>
      </c>
      <c r="L62" s="23" t="s">
        <v>28</v>
      </c>
    </row>
    <row r="63" spans="1:12" ht="17.100000000000001" customHeight="1" x14ac:dyDescent="0.2">
      <c r="A63" s="42">
        <v>7</v>
      </c>
      <c r="B63" s="23" t="s">
        <v>13</v>
      </c>
      <c r="C63" s="43" t="s">
        <v>222</v>
      </c>
      <c r="D63" s="23" t="s">
        <v>433</v>
      </c>
      <c r="E63" s="23" t="s">
        <v>146</v>
      </c>
      <c r="F63" s="44">
        <v>22</v>
      </c>
      <c r="G63" s="23">
        <v>2</v>
      </c>
      <c r="H63" s="23" t="s">
        <v>278</v>
      </c>
      <c r="I63" s="23">
        <v>0</v>
      </c>
      <c r="J63" s="23">
        <v>0</v>
      </c>
      <c r="K63" s="23">
        <v>0</v>
      </c>
      <c r="L63" s="23" t="s">
        <v>28</v>
      </c>
    </row>
    <row r="64" spans="1:12" ht="17.100000000000001" customHeight="1" x14ac:dyDescent="0.2">
      <c r="A64" s="42">
        <v>7</v>
      </c>
      <c r="B64" s="23" t="s">
        <v>13</v>
      </c>
      <c r="C64" s="43" t="s">
        <v>434</v>
      </c>
      <c r="D64" s="23" t="s">
        <v>433</v>
      </c>
      <c r="E64" s="23" t="s">
        <v>146</v>
      </c>
      <c r="F64" s="44">
        <v>19</v>
      </c>
      <c r="G64" s="23">
        <v>2</v>
      </c>
      <c r="H64" s="23" t="s">
        <v>248</v>
      </c>
      <c r="I64" s="23" t="s">
        <v>172</v>
      </c>
      <c r="J64" s="23" t="s">
        <v>173</v>
      </c>
      <c r="K64" s="23">
        <v>0</v>
      </c>
      <c r="L64" s="23" t="s">
        <v>174</v>
      </c>
    </row>
    <row r="65" spans="1:12" ht="17.100000000000001" customHeight="1" x14ac:dyDescent="0.2">
      <c r="A65" s="42">
        <v>7</v>
      </c>
      <c r="B65" s="23" t="s">
        <v>13</v>
      </c>
      <c r="C65" s="43" t="s">
        <v>516</v>
      </c>
      <c r="D65" s="23" t="s">
        <v>433</v>
      </c>
      <c r="E65" s="23" t="s">
        <v>146</v>
      </c>
      <c r="F65" s="44">
        <v>19</v>
      </c>
      <c r="G65" s="23">
        <v>2</v>
      </c>
      <c r="H65" s="23" t="s">
        <v>248</v>
      </c>
      <c r="I65" s="23" t="s">
        <v>172</v>
      </c>
      <c r="J65" s="23" t="s">
        <v>173</v>
      </c>
      <c r="K65" s="23">
        <v>0</v>
      </c>
      <c r="L65" s="23" t="s">
        <v>174</v>
      </c>
    </row>
    <row r="66" spans="1:12" ht="17.100000000000001" customHeight="1" x14ac:dyDescent="0.2">
      <c r="A66" s="42">
        <v>7</v>
      </c>
      <c r="B66" s="23" t="s">
        <v>13</v>
      </c>
      <c r="C66" s="43" t="s">
        <v>517</v>
      </c>
      <c r="D66" s="23" t="s">
        <v>433</v>
      </c>
      <c r="E66" s="23" t="s">
        <v>146</v>
      </c>
      <c r="F66" s="44">
        <v>22</v>
      </c>
      <c r="G66" s="23">
        <v>2</v>
      </c>
      <c r="H66" s="23" t="s">
        <v>278</v>
      </c>
      <c r="I66" s="23">
        <v>0</v>
      </c>
      <c r="J66" s="23">
        <v>0</v>
      </c>
      <c r="K66" s="23">
        <v>0</v>
      </c>
      <c r="L66" s="23" t="s">
        <v>28</v>
      </c>
    </row>
    <row r="67" spans="1:12" ht="17.100000000000001" customHeight="1" x14ac:dyDescent="0.2">
      <c r="A67" s="42">
        <v>7</v>
      </c>
      <c r="B67" s="23" t="s">
        <v>13</v>
      </c>
      <c r="C67" s="43" t="s">
        <v>518</v>
      </c>
      <c r="D67" s="23" t="s">
        <v>433</v>
      </c>
      <c r="E67" s="23" t="s">
        <v>146</v>
      </c>
      <c r="F67" s="44">
        <v>26</v>
      </c>
      <c r="G67" s="23">
        <v>2</v>
      </c>
      <c r="H67" s="23" t="s">
        <v>522</v>
      </c>
      <c r="I67" s="23">
        <v>0</v>
      </c>
      <c r="J67" s="23">
        <v>0</v>
      </c>
      <c r="K67" s="23">
        <v>0</v>
      </c>
      <c r="L67" s="23" t="s">
        <v>28</v>
      </c>
    </row>
    <row r="68" spans="1:12" ht="17.100000000000001" customHeight="1" x14ac:dyDescent="0.2">
      <c r="A68" s="42">
        <v>7</v>
      </c>
      <c r="B68" s="23" t="s">
        <v>13</v>
      </c>
      <c r="C68" s="43" t="s">
        <v>223</v>
      </c>
      <c r="D68" s="23" t="s">
        <v>428</v>
      </c>
      <c r="E68" s="23" t="s">
        <v>146</v>
      </c>
      <c r="F68" s="44">
        <v>31</v>
      </c>
      <c r="G68" s="23">
        <v>1</v>
      </c>
      <c r="H68" s="23" t="s">
        <v>319</v>
      </c>
      <c r="I68" s="23" t="s">
        <v>92</v>
      </c>
      <c r="J68" s="23" t="s">
        <v>283</v>
      </c>
      <c r="K68" s="23" t="s">
        <v>338</v>
      </c>
      <c r="L68" s="23" t="s">
        <v>318</v>
      </c>
    </row>
    <row r="69" spans="1:12" ht="17.100000000000001" customHeight="1" x14ac:dyDescent="0.2">
      <c r="A69" s="42">
        <v>7</v>
      </c>
      <c r="B69" s="23" t="s">
        <v>13</v>
      </c>
      <c r="C69" s="43" t="s">
        <v>224</v>
      </c>
      <c r="D69" s="23" t="s">
        <v>433</v>
      </c>
      <c r="E69" s="23" t="s">
        <v>146</v>
      </c>
      <c r="F69" s="44" t="s">
        <v>519</v>
      </c>
      <c r="G69" s="23">
        <v>1</v>
      </c>
      <c r="H69" s="23" t="s">
        <v>520</v>
      </c>
      <c r="I69" s="23">
        <v>0</v>
      </c>
      <c r="J69" s="23">
        <v>0</v>
      </c>
      <c r="K69" s="23">
        <v>0</v>
      </c>
      <c r="L69" s="23">
        <v>0</v>
      </c>
    </row>
    <row r="70" spans="1:12" ht="17.100000000000001" customHeight="1" x14ac:dyDescent="0.2">
      <c r="A70" s="42">
        <v>7</v>
      </c>
      <c r="B70" s="23" t="s">
        <v>13</v>
      </c>
      <c r="C70" s="43" t="s">
        <v>435</v>
      </c>
      <c r="D70" s="23" t="s">
        <v>433</v>
      </c>
      <c r="E70" s="23" t="s">
        <v>146</v>
      </c>
      <c r="F70" s="44" t="s">
        <v>519</v>
      </c>
      <c r="G70" s="23">
        <v>1</v>
      </c>
      <c r="H70" s="23" t="s">
        <v>520</v>
      </c>
      <c r="I70" s="23">
        <v>0</v>
      </c>
      <c r="J70" s="23">
        <v>0</v>
      </c>
      <c r="K70" s="23">
        <v>0</v>
      </c>
      <c r="L70" s="23">
        <v>0</v>
      </c>
    </row>
    <row r="71" spans="1:12" ht="17.100000000000001" customHeight="1" x14ac:dyDescent="0.2">
      <c r="A71" s="42">
        <v>7</v>
      </c>
      <c r="B71" s="23" t="s">
        <v>13</v>
      </c>
      <c r="C71" s="43" t="s">
        <v>436</v>
      </c>
      <c r="D71" s="23" t="s">
        <v>428</v>
      </c>
      <c r="E71" s="23" t="s">
        <v>146</v>
      </c>
      <c r="F71" s="44">
        <v>31</v>
      </c>
      <c r="G71" s="23">
        <v>1</v>
      </c>
      <c r="H71" s="23" t="s">
        <v>319</v>
      </c>
      <c r="I71" s="23" t="s">
        <v>92</v>
      </c>
      <c r="J71" s="23" t="s">
        <v>283</v>
      </c>
      <c r="K71" s="23" t="s">
        <v>338</v>
      </c>
      <c r="L71" s="23" t="s">
        <v>318</v>
      </c>
    </row>
    <row r="72" spans="1:12" ht="17.100000000000001" customHeight="1" x14ac:dyDescent="0.2">
      <c r="A72" s="42">
        <v>7</v>
      </c>
      <c r="B72" s="23" t="s">
        <v>13</v>
      </c>
      <c r="C72" s="43" t="s">
        <v>219</v>
      </c>
      <c r="D72" s="23" t="s">
        <v>428</v>
      </c>
      <c r="E72" s="23" t="s">
        <v>146</v>
      </c>
      <c r="F72" s="44">
        <v>28</v>
      </c>
      <c r="G72" s="23">
        <v>1</v>
      </c>
      <c r="H72" s="23" t="s">
        <v>281</v>
      </c>
      <c r="I72" s="23" t="s">
        <v>284</v>
      </c>
      <c r="J72" s="23" t="s">
        <v>283</v>
      </c>
      <c r="K72" s="23" t="s">
        <v>338</v>
      </c>
      <c r="L72" s="23" t="s">
        <v>282</v>
      </c>
    </row>
    <row r="73" spans="1:12" ht="17.100000000000001" customHeight="1" x14ac:dyDescent="0.2">
      <c r="A73" s="42">
        <v>7</v>
      </c>
      <c r="B73" s="23" t="s">
        <v>13</v>
      </c>
      <c r="C73" s="43" t="s">
        <v>220</v>
      </c>
      <c r="D73" s="23" t="s">
        <v>433</v>
      </c>
      <c r="E73" s="23" t="s">
        <v>146</v>
      </c>
      <c r="F73" s="44">
        <v>21</v>
      </c>
      <c r="G73" s="23">
        <v>1</v>
      </c>
      <c r="H73" s="23" t="s">
        <v>277</v>
      </c>
      <c r="I73" s="23" t="s">
        <v>132</v>
      </c>
      <c r="J73" s="23" t="s">
        <v>167</v>
      </c>
      <c r="K73" s="23" t="s">
        <v>100</v>
      </c>
      <c r="L73" s="23" t="s">
        <v>125</v>
      </c>
    </row>
    <row r="74" spans="1:12" ht="17.100000000000001" customHeight="1" x14ac:dyDescent="0.2">
      <c r="A74" s="42">
        <v>7</v>
      </c>
      <c r="B74" s="23" t="s">
        <v>13</v>
      </c>
      <c r="C74" s="43" t="s">
        <v>521</v>
      </c>
      <c r="D74" s="23" t="s">
        <v>151</v>
      </c>
      <c r="E74" s="23" t="s">
        <v>146</v>
      </c>
      <c r="F74" s="44">
        <v>1</v>
      </c>
      <c r="G74" s="23">
        <v>1</v>
      </c>
      <c r="H74" s="23" t="s">
        <v>38</v>
      </c>
      <c r="I74" s="23" t="s">
        <v>50</v>
      </c>
      <c r="J74" s="23" t="s">
        <v>3</v>
      </c>
      <c r="K74" s="23" t="s">
        <v>56</v>
      </c>
      <c r="L74" s="23" t="s">
        <v>28</v>
      </c>
    </row>
    <row r="75" spans="1:12" ht="17.100000000000001" customHeight="1" x14ac:dyDescent="0.2">
      <c r="A75" s="42">
        <v>7</v>
      </c>
      <c r="B75" s="23" t="s">
        <v>13</v>
      </c>
      <c r="C75" s="43" t="s">
        <v>521</v>
      </c>
      <c r="D75" s="23" t="s">
        <v>151</v>
      </c>
      <c r="E75" s="23" t="s">
        <v>146</v>
      </c>
      <c r="F75" s="44">
        <v>2</v>
      </c>
      <c r="G75" s="23">
        <v>1</v>
      </c>
      <c r="H75" s="23" t="s">
        <v>45</v>
      </c>
      <c r="I75" s="23" t="s">
        <v>50</v>
      </c>
      <c r="J75" s="23" t="s">
        <v>3</v>
      </c>
      <c r="K75" s="23" t="s">
        <v>56</v>
      </c>
      <c r="L75" s="23" t="s">
        <v>28</v>
      </c>
    </row>
    <row r="76" spans="1:12" ht="17.100000000000001" customHeight="1" x14ac:dyDescent="0.2">
      <c r="A76" s="42">
        <v>7</v>
      </c>
      <c r="B76" s="23" t="s">
        <v>13</v>
      </c>
      <c r="C76" s="43" t="s">
        <v>521</v>
      </c>
      <c r="D76" s="23" t="s">
        <v>151</v>
      </c>
      <c r="E76" s="23" t="s">
        <v>146</v>
      </c>
      <c r="F76" s="44">
        <v>3</v>
      </c>
      <c r="G76" s="23">
        <v>1</v>
      </c>
      <c r="H76" s="23" t="s">
        <v>88</v>
      </c>
      <c r="I76" s="23" t="s">
        <v>92</v>
      </c>
      <c r="J76" s="23" t="s">
        <v>3</v>
      </c>
      <c r="K76" s="23" t="s">
        <v>76</v>
      </c>
      <c r="L76" s="23" t="s">
        <v>90</v>
      </c>
    </row>
    <row r="77" spans="1:12" ht="17.100000000000001" customHeight="1" x14ac:dyDescent="0.2">
      <c r="A77" s="45" t="s">
        <v>369</v>
      </c>
      <c r="B77" s="45"/>
      <c r="C77" s="45"/>
      <c r="D77" s="45"/>
      <c r="E77" s="45"/>
      <c r="F77" s="45"/>
      <c r="G77" s="45"/>
      <c r="H77" s="45"/>
      <c r="I77" s="45"/>
      <c r="J77" s="45"/>
      <c r="K77" s="45"/>
      <c r="L77" s="45"/>
    </row>
    <row r="78" spans="1:12" ht="17.100000000000001" customHeight="1" x14ac:dyDescent="0.2">
      <c r="A78" s="42">
        <v>8</v>
      </c>
      <c r="B78" s="23" t="s">
        <v>225</v>
      </c>
      <c r="C78" s="43" t="s">
        <v>226</v>
      </c>
      <c r="D78" s="23" t="s">
        <v>225</v>
      </c>
      <c r="E78" s="23" t="s">
        <v>146</v>
      </c>
      <c r="F78" s="44">
        <v>27</v>
      </c>
      <c r="G78" s="23">
        <v>1</v>
      </c>
      <c r="H78" s="23" t="s">
        <v>280</v>
      </c>
      <c r="I78" s="23" t="s">
        <v>284</v>
      </c>
      <c r="J78" s="23" t="s">
        <v>283</v>
      </c>
      <c r="K78" s="23" t="s">
        <v>338</v>
      </c>
      <c r="L78" s="23" t="s">
        <v>282</v>
      </c>
    </row>
    <row r="79" spans="1:12" ht="17.100000000000001" customHeight="1" x14ac:dyDescent="0.2">
      <c r="A79" s="42">
        <v>8</v>
      </c>
      <c r="B79" s="23" t="s">
        <v>225</v>
      </c>
      <c r="C79" s="43" t="s">
        <v>227</v>
      </c>
      <c r="D79" s="23" t="s">
        <v>225</v>
      </c>
      <c r="E79" s="23" t="s">
        <v>146</v>
      </c>
      <c r="F79" s="44">
        <v>38</v>
      </c>
      <c r="G79" s="23">
        <v>2</v>
      </c>
      <c r="H79" s="23" t="s">
        <v>396</v>
      </c>
      <c r="I79" s="23" t="s">
        <v>454</v>
      </c>
      <c r="J79" s="23" t="s">
        <v>453</v>
      </c>
      <c r="K79" s="23">
        <v>0</v>
      </c>
      <c r="L79" s="23" t="s">
        <v>72</v>
      </c>
    </row>
    <row r="80" spans="1:12" ht="17.100000000000001" customHeight="1" x14ac:dyDescent="0.2">
      <c r="A80" s="42">
        <v>8</v>
      </c>
      <c r="B80" s="23" t="s">
        <v>225</v>
      </c>
      <c r="C80" s="43" t="s">
        <v>228</v>
      </c>
      <c r="D80" s="23" t="s">
        <v>225</v>
      </c>
      <c r="E80" s="23" t="s">
        <v>146</v>
      </c>
      <c r="F80" s="44">
        <v>27</v>
      </c>
      <c r="G80" s="23">
        <v>1</v>
      </c>
      <c r="H80" s="23" t="s">
        <v>280</v>
      </c>
      <c r="I80" s="23" t="s">
        <v>284</v>
      </c>
      <c r="J80" s="23" t="s">
        <v>283</v>
      </c>
      <c r="K80" s="23" t="s">
        <v>338</v>
      </c>
      <c r="L80" s="23" t="s">
        <v>282</v>
      </c>
    </row>
    <row r="81" spans="1:12" ht="17.100000000000001" customHeight="1" x14ac:dyDescent="0.2">
      <c r="A81" s="45" t="s">
        <v>370</v>
      </c>
      <c r="B81" s="45"/>
      <c r="C81" s="45"/>
      <c r="D81" s="45"/>
      <c r="E81" s="45"/>
      <c r="F81" s="45"/>
      <c r="G81" s="45"/>
      <c r="H81" s="45"/>
      <c r="I81" s="45"/>
      <c r="J81" s="45"/>
      <c r="K81" s="45"/>
      <c r="L81" s="45"/>
    </row>
    <row r="82" spans="1:12" ht="17.100000000000001" customHeight="1" x14ac:dyDescent="0.2">
      <c r="A82" s="42">
        <v>9</v>
      </c>
      <c r="B82" s="23" t="s">
        <v>225</v>
      </c>
      <c r="C82" s="43" t="s">
        <v>229</v>
      </c>
      <c r="D82" s="23" t="s">
        <v>225</v>
      </c>
      <c r="E82" s="23" t="s">
        <v>146</v>
      </c>
      <c r="F82" s="44">
        <v>9</v>
      </c>
      <c r="G82" s="23">
        <v>3</v>
      </c>
      <c r="H82" s="23" t="s">
        <v>440</v>
      </c>
      <c r="I82" s="23" t="s">
        <v>50</v>
      </c>
      <c r="J82" s="23" t="s">
        <v>3</v>
      </c>
      <c r="K82" s="23" t="s">
        <v>56</v>
      </c>
      <c r="L82" s="23" t="s">
        <v>28</v>
      </c>
    </row>
    <row r="83" spans="1:12" ht="17.100000000000001" customHeight="1" x14ac:dyDescent="0.2">
      <c r="A83" s="42">
        <v>9</v>
      </c>
      <c r="B83" s="23" t="s">
        <v>225</v>
      </c>
      <c r="C83" s="43" t="s">
        <v>234</v>
      </c>
      <c r="D83" s="23" t="s">
        <v>225</v>
      </c>
      <c r="E83" s="23" t="s">
        <v>146</v>
      </c>
      <c r="F83" s="44">
        <v>21</v>
      </c>
      <c r="G83" s="23">
        <v>10</v>
      </c>
      <c r="H83" s="23" t="s">
        <v>277</v>
      </c>
      <c r="I83" s="23" t="s">
        <v>132</v>
      </c>
      <c r="J83" s="23" t="s">
        <v>167</v>
      </c>
      <c r="K83" s="23" t="s">
        <v>100</v>
      </c>
      <c r="L83" s="23" t="s">
        <v>125</v>
      </c>
    </row>
    <row r="84" spans="1:12" ht="17.100000000000001" customHeight="1" x14ac:dyDescent="0.2">
      <c r="A84" s="42">
        <v>9</v>
      </c>
      <c r="B84" s="23" t="s">
        <v>225</v>
      </c>
      <c r="C84" s="43" t="s">
        <v>235</v>
      </c>
      <c r="D84" s="23" t="s">
        <v>225</v>
      </c>
      <c r="E84" s="23" t="s">
        <v>146</v>
      </c>
      <c r="F84" s="44">
        <v>29</v>
      </c>
      <c r="G84" s="23">
        <v>3</v>
      </c>
      <c r="H84" s="23" t="s">
        <v>441</v>
      </c>
      <c r="I84" s="23" t="s">
        <v>303</v>
      </c>
      <c r="J84" s="23" t="s">
        <v>3</v>
      </c>
      <c r="K84" s="23" t="s">
        <v>56</v>
      </c>
      <c r="L84" s="23" t="s">
        <v>28</v>
      </c>
    </row>
    <row r="85" spans="1:12" ht="17.100000000000001" customHeight="1" x14ac:dyDescent="0.2">
      <c r="A85" s="45" t="s">
        <v>371</v>
      </c>
      <c r="B85" s="45"/>
      <c r="C85" s="45"/>
      <c r="D85" s="45"/>
      <c r="E85" s="45"/>
      <c r="F85" s="45"/>
      <c r="G85" s="45"/>
      <c r="H85" s="45"/>
      <c r="I85" s="45"/>
      <c r="J85" s="45"/>
      <c r="K85" s="45"/>
      <c r="L85" s="45"/>
    </row>
    <row r="86" spans="1:12" ht="17.100000000000001" customHeight="1" x14ac:dyDescent="0.2">
      <c r="A86" s="42">
        <v>10</v>
      </c>
      <c r="B86" s="23" t="s">
        <v>225</v>
      </c>
      <c r="C86" s="43" t="s">
        <v>230</v>
      </c>
      <c r="D86" s="23" t="s">
        <v>225</v>
      </c>
      <c r="E86" s="23" t="s">
        <v>146</v>
      </c>
      <c r="F86" s="44">
        <v>6</v>
      </c>
      <c r="G86" s="23">
        <v>2</v>
      </c>
      <c r="H86" s="23" t="s">
        <v>439</v>
      </c>
      <c r="I86" s="23" t="s">
        <v>50</v>
      </c>
      <c r="J86" s="23" t="s">
        <v>3</v>
      </c>
      <c r="K86" s="23" t="s">
        <v>56</v>
      </c>
      <c r="L86" s="23" t="s">
        <v>28</v>
      </c>
    </row>
    <row r="87" spans="1:12" ht="17.100000000000001" customHeight="1" x14ac:dyDescent="0.2">
      <c r="A87" s="42">
        <v>10</v>
      </c>
      <c r="B87" s="23" t="s">
        <v>225</v>
      </c>
      <c r="C87" s="43" t="s">
        <v>236</v>
      </c>
      <c r="D87" s="23" t="s">
        <v>225</v>
      </c>
      <c r="E87" s="23" t="s">
        <v>146</v>
      </c>
      <c r="F87" s="44">
        <v>4</v>
      </c>
      <c r="G87" s="23">
        <v>1</v>
      </c>
      <c r="H87" s="23" t="s">
        <v>260</v>
      </c>
      <c r="I87" s="23" t="s">
        <v>106</v>
      </c>
      <c r="J87" s="23">
        <v>2</v>
      </c>
      <c r="K87" s="23" t="s">
        <v>100</v>
      </c>
      <c r="L87" s="23" t="s">
        <v>108</v>
      </c>
    </row>
    <row r="88" spans="1:12" ht="17.100000000000001" customHeight="1" x14ac:dyDescent="0.2">
      <c r="A88" s="42">
        <v>10</v>
      </c>
      <c r="B88" s="23" t="s">
        <v>225</v>
      </c>
      <c r="C88" s="43" t="s">
        <v>237</v>
      </c>
      <c r="D88" s="23" t="s">
        <v>225</v>
      </c>
      <c r="E88" s="23" t="s">
        <v>146</v>
      </c>
      <c r="F88" s="44">
        <v>24</v>
      </c>
      <c r="G88" s="23">
        <v>1</v>
      </c>
      <c r="H88" s="23" t="s">
        <v>279</v>
      </c>
      <c r="I88" s="23" t="s">
        <v>92</v>
      </c>
      <c r="J88" s="23" t="s">
        <v>274</v>
      </c>
      <c r="K88" s="23" t="s">
        <v>316</v>
      </c>
      <c r="L88" s="23" t="s">
        <v>316</v>
      </c>
    </row>
    <row r="89" spans="1:12" ht="17.100000000000001" customHeight="1" x14ac:dyDescent="0.2">
      <c r="A89" s="45" t="s">
        <v>361</v>
      </c>
      <c r="B89" s="45"/>
      <c r="C89" s="45"/>
      <c r="D89" s="45"/>
      <c r="E89" s="45"/>
      <c r="F89" s="45"/>
      <c r="G89" s="45"/>
      <c r="H89" s="45"/>
      <c r="I89" s="45"/>
      <c r="J89" s="45"/>
      <c r="K89" s="45"/>
      <c r="L89" s="45"/>
    </row>
    <row r="90" spans="1:12" ht="17.100000000000001" customHeight="1" x14ac:dyDescent="0.2">
      <c r="A90" s="42">
        <v>11</v>
      </c>
      <c r="B90" s="23" t="s">
        <v>225</v>
      </c>
      <c r="C90" s="43" t="s">
        <v>231</v>
      </c>
      <c r="D90" s="23" t="s">
        <v>225</v>
      </c>
      <c r="E90" s="23" t="s">
        <v>146</v>
      </c>
      <c r="F90" s="44">
        <v>32</v>
      </c>
      <c r="G90" s="23">
        <v>5</v>
      </c>
      <c r="H90" s="23" t="s">
        <v>320</v>
      </c>
      <c r="I90" s="23" t="s">
        <v>321</v>
      </c>
      <c r="J90" s="23" t="s">
        <v>265</v>
      </c>
      <c r="K90" s="23" t="s">
        <v>76</v>
      </c>
      <c r="L90" s="23" t="s">
        <v>282</v>
      </c>
    </row>
    <row r="91" spans="1:12" ht="17.100000000000001" customHeight="1" x14ac:dyDescent="0.2">
      <c r="A91" s="42">
        <v>11</v>
      </c>
      <c r="B91" s="23" t="s">
        <v>225</v>
      </c>
      <c r="C91" s="43" t="s">
        <v>238</v>
      </c>
      <c r="D91" s="23" t="s">
        <v>225</v>
      </c>
      <c r="E91" s="23" t="s">
        <v>146</v>
      </c>
      <c r="F91" s="44">
        <v>32</v>
      </c>
      <c r="G91" s="23">
        <v>5</v>
      </c>
      <c r="H91" s="23" t="s">
        <v>320</v>
      </c>
      <c r="I91" s="23" t="s">
        <v>321</v>
      </c>
      <c r="J91" s="23" t="s">
        <v>265</v>
      </c>
      <c r="K91" s="23" t="s">
        <v>76</v>
      </c>
      <c r="L91" s="23" t="s">
        <v>282</v>
      </c>
    </row>
    <row r="92" spans="1:12" ht="17.100000000000001" customHeight="1" x14ac:dyDescent="0.2">
      <c r="A92" s="42">
        <v>11</v>
      </c>
      <c r="B92" s="23" t="s">
        <v>225</v>
      </c>
      <c r="C92" s="43" t="s">
        <v>239</v>
      </c>
      <c r="D92" s="23" t="s">
        <v>225</v>
      </c>
      <c r="E92" s="23" t="s">
        <v>146</v>
      </c>
      <c r="F92" s="44">
        <v>32</v>
      </c>
      <c r="G92" s="23">
        <v>5</v>
      </c>
      <c r="H92" s="23" t="s">
        <v>320</v>
      </c>
      <c r="I92" s="23" t="s">
        <v>321</v>
      </c>
      <c r="J92" s="23" t="s">
        <v>265</v>
      </c>
      <c r="K92" s="23" t="s">
        <v>76</v>
      </c>
      <c r="L92" s="23" t="s">
        <v>282</v>
      </c>
    </row>
    <row r="93" spans="1:12" ht="17.100000000000001" customHeight="1" x14ac:dyDescent="0.2">
      <c r="A93" s="45" t="s">
        <v>363</v>
      </c>
      <c r="B93" s="45"/>
      <c r="C93" s="45"/>
      <c r="D93" s="45"/>
      <c r="E93" s="45"/>
      <c r="F93" s="45"/>
      <c r="G93" s="45"/>
      <c r="H93" s="45"/>
      <c r="I93" s="45"/>
      <c r="J93" s="45"/>
      <c r="K93" s="45"/>
      <c r="L93" s="45"/>
    </row>
    <row r="94" spans="1:12" ht="17.100000000000001" customHeight="1" x14ac:dyDescent="0.2">
      <c r="A94" s="42">
        <v>12</v>
      </c>
      <c r="B94" s="23" t="s">
        <v>225</v>
      </c>
      <c r="C94" s="43" t="s">
        <v>232</v>
      </c>
      <c r="D94" s="23" t="s">
        <v>225</v>
      </c>
      <c r="E94" s="23" t="s">
        <v>146</v>
      </c>
      <c r="F94" s="44">
        <v>33</v>
      </c>
      <c r="G94" s="23">
        <v>5</v>
      </c>
      <c r="H94" s="23" t="s">
        <v>324</v>
      </c>
      <c r="I94" s="23" t="s">
        <v>321</v>
      </c>
      <c r="J94" s="23" t="s">
        <v>265</v>
      </c>
      <c r="K94" s="23" t="s">
        <v>76</v>
      </c>
      <c r="L94" s="23" t="s">
        <v>282</v>
      </c>
    </row>
    <row r="95" spans="1:12" ht="17.100000000000001" customHeight="1" x14ac:dyDescent="0.2">
      <c r="A95" s="42">
        <v>12</v>
      </c>
      <c r="B95" s="23" t="s">
        <v>225</v>
      </c>
      <c r="C95" s="43" t="s">
        <v>240</v>
      </c>
      <c r="D95" s="23" t="s">
        <v>225</v>
      </c>
      <c r="E95" s="23" t="s">
        <v>146</v>
      </c>
      <c r="F95" s="44">
        <v>33</v>
      </c>
      <c r="G95" s="23">
        <v>5</v>
      </c>
      <c r="H95" s="23" t="s">
        <v>324</v>
      </c>
      <c r="I95" s="23" t="s">
        <v>321</v>
      </c>
      <c r="J95" s="23" t="s">
        <v>265</v>
      </c>
      <c r="K95" s="23" t="s">
        <v>76</v>
      </c>
      <c r="L95" s="23" t="s">
        <v>282</v>
      </c>
    </row>
    <row r="96" spans="1:12" ht="17.100000000000001" customHeight="1" x14ac:dyDescent="0.2">
      <c r="A96" s="42">
        <v>12</v>
      </c>
      <c r="B96" s="23" t="s">
        <v>225</v>
      </c>
      <c r="C96" s="43" t="s">
        <v>241</v>
      </c>
      <c r="D96" s="23" t="s">
        <v>225</v>
      </c>
      <c r="E96" s="23" t="s">
        <v>146</v>
      </c>
      <c r="F96" s="44">
        <v>33</v>
      </c>
      <c r="G96" s="23">
        <v>5</v>
      </c>
      <c r="H96" s="23" t="s">
        <v>324</v>
      </c>
      <c r="I96" s="23" t="s">
        <v>321</v>
      </c>
      <c r="J96" s="23" t="s">
        <v>265</v>
      </c>
      <c r="K96" s="23" t="s">
        <v>76</v>
      </c>
      <c r="L96" s="23" t="s">
        <v>282</v>
      </c>
    </row>
    <row r="97" spans="1:12" ht="17.100000000000001" customHeight="1" x14ac:dyDescent="0.2">
      <c r="A97" s="45" t="s">
        <v>364</v>
      </c>
      <c r="B97" s="45"/>
      <c r="C97" s="45"/>
      <c r="D97" s="45"/>
      <c r="E97" s="45"/>
      <c r="F97" s="45"/>
      <c r="G97" s="45"/>
      <c r="H97" s="45"/>
      <c r="I97" s="45"/>
      <c r="J97" s="45"/>
      <c r="K97" s="45"/>
      <c r="L97" s="45"/>
    </row>
    <row r="98" spans="1:12" ht="17.100000000000001" customHeight="1" x14ac:dyDescent="0.25">
      <c r="A98" s="25" t="s">
        <v>356</v>
      </c>
      <c r="B98" s="25"/>
      <c r="C98" s="25"/>
      <c r="D98" s="25"/>
      <c r="E98" s="25"/>
      <c r="F98" s="25"/>
      <c r="G98" s="25"/>
      <c r="J98" s="25"/>
      <c r="K98" s="25"/>
      <c r="L98" s="25"/>
    </row>
  </sheetData>
  <pageMargins left="0.70866141732283472" right="0.70866141732283472" top="0.62992125984251968" bottom="0.62992125984251968" header="0.31496062992125984" footer="0.31496062992125984"/>
  <pageSetup paperSize="9" scale="58" fitToHeight="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AEFF1-85C2-454F-A730-C717645F8D5F}">
  <sheetPr>
    <pageSetUpPr fitToPage="1"/>
  </sheetPr>
  <dimension ref="A1:AF87"/>
  <sheetViews>
    <sheetView showZeros="0" tabSelected="1" workbookViewId="0">
      <pane xSplit="1" ySplit="1" topLeftCell="B2" activePane="bottomRight" state="frozen"/>
      <selection pane="bottomLeft" activeCell="A2" sqref="A2"/>
      <selection pane="topRight" activeCell="B1" sqref="B1"/>
      <selection pane="bottomRight" activeCell="A8" sqref="A8:XFD8"/>
    </sheetView>
  </sheetViews>
  <sheetFormatPr defaultColWidth="10.89453125" defaultRowHeight="15" x14ac:dyDescent="0.2"/>
  <cols>
    <col min="1" max="1" width="8.47265625" style="4" bestFit="1" customWidth="1"/>
    <col min="2" max="2" width="8.33984375" style="30" bestFit="1" customWidth="1"/>
    <col min="3" max="3" width="12.5078125" style="30" bestFit="1" customWidth="1"/>
    <col min="4" max="4" width="19.7734375" style="30" bestFit="1" customWidth="1"/>
    <col min="5" max="5" width="13.046875" style="30" bestFit="1" customWidth="1"/>
    <col min="6" max="6" width="8.203125" style="30" bestFit="1" customWidth="1"/>
    <col min="7" max="7" width="5.78125" style="30" bestFit="1" customWidth="1"/>
    <col min="8" max="8" width="4.83984375" style="30" bestFit="1" customWidth="1"/>
    <col min="9" max="9" width="16.41015625" style="30" bestFit="1" customWidth="1"/>
    <col min="10" max="10" width="13.31640625" style="30" bestFit="1" customWidth="1"/>
    <col min="11" max="11" width="10.4921875" style="30" bestFit="1" customWidth="1"/>
    <col min="12" max="12" width="11.02734375" style="31" bestFit="1" customWidth="1"/>
    <col min="13" max="13" width="7.12890625" style="28" bestFit="1" customWidth="1"/>
    <col min="14" max="14" width="50.30859375" style="4" customWidth="1"/>
    <col min="15" max="15" width="9.28125" style="4" customWidth="1"/>
    <col min="16" max="16" width="14.9296875" style="4" customWidth="1"/>
    <col min="17" max="17" width="10.0859375" style="30" customWidth="1"/>
    <col min="18" max="18" width="8.0703125" style="30" customWidth="1"/>
    <col min="19" max="19" width="9.55078125" style="32" customWidth="1"/>
    <col min="20" max="20" width="10.76171875" style="30" customWidth="1"/>
    <col min="21" max="21" width="9.81640625" style="30" bestFit="1" customWidth="1"/>
    <col min="22" max="22" width="8.875" style="30" bestFit="1" customWidth="1"/>
    <col min="23" max="23" width="6.58984375" style="30" bestFit="1" customWidth="1"/>
    <col min="24" max="24" width="27.3046875" style="30" customWidth="1"/>
    <col min="25" max="25" width="11.296875" style="30" customWidth="1"/>
    <col min="26" max="26" width="27.0390625" style="30" bestFit="1" customWidth="1"/>
    <col min="27" max="27" width="25.9609375" style="30" bestFit="1" customWidth="1"/>
    <col min="28" max="28" width="11.56640625" style="30" bestFit="1" customWidth="1"/>
    <col min="29" max="29" width="24.6171875" style="30" bestFit="1" customWidth="1"/>
    <col min="30" max="30" width="27.0390625" style="30" bestFit="1" customWidth="1"/>
    <col min="31" max="31" width="27.0390625" style="30" customWidth="1"/>
    <col min="32" max="32" width="11.8359375" style="30" customWidth="1"/>
    <col min="33" max="33" width="36.859375" style="30" customWidth="1"/>
    <col min="34" max="16384" width="10.89453125" style="30"/>
  </cols>
  <sheetData>
    <row r="1" spans="1:32" s="4" customFormat="1" x14ac:dyDescent="0.2">
      <c r="A1" s="4" t="s">
        <v>17</v>
      </c>
      <c r="B1" s="4" t="s">
        <v>0</v>
      </c>
      <c r="C1" s="4" t="s">
        <v>2</v>
      </c>
      <c r="D1" s="4" t="s">
        <v>3</v>
      </c>
      <c r="E1" s="4" t="s">
        <v>12</v>
      </c>
      <c r="F1" s="4" t="s">
        <v>18</v>
      </c>
      <c r="G1" s="4" t="s">
        <v>15</v>
      </c>
      <c r="H1" s="4" t="s">
        <v>9</v>
      </c>
      <c r="I1" s="4" t="s">
        <v>8</v>
      </c>
      <c r="J1" s="4" t="s">
        <v>10</v>
      </c>
      <c r="K1" s="4" t="s">
        <v>11</v>
      </c>
      <c r="L1" s="27" t="s">
        <v>141</v>
      </c>
      <c r="M1" s="28" t="s">
        <v>47</v>
      </c>
      <c r="N1" s="4" t="s">
        <v>30</v>
      </c>
      <c r="O1" s="4" t="s">
        <v>36</v>
      </c>
      <c r="P1" s="4" t="s">
        <v>51</v>
      </c>
      <c r="Q1" s="29" t="s">
        <v>52</v>
      </c>
      <c r="R1" s="4" t="s">
        <v>53</v>
      </c>
      <c r="S1" s="4" t="s">
        <v>55</v>
      </c>
      <c r="T1" s="4" t="s">
        <v>37</v>
      </c>
      <c r="U1" s="4" t="s">
        <v>58</v>
      </c>
      <c r="V1" s="4" t="s">
        <v>59</v>
      </c>
      <c r="W1" s="4" t="s">
        <v>110</v>
      </c>
      <c r="X1" s="4" t="s">
        <v>34</v>
      </c>
      <c r="Y1" s="4" t="s">
        <v>32</v>
      </c>
      <c r="Z1" s="4" t="s">
        <v>31</v>
      </c>
      <c r="AA1" s="4" t="s">
        <v>64</v>
      </c>
      <c r="AB1" s="4" t="s">
        <v>33</v>
      </c>
      <c r="AC1" s="4" t="s">
        <v>35</v>
      </c>
      <c r="AD1" s="4" t="s">
        <v>49</v>
      </c>
      <c r="AE1" s="4" t="s">
        <v>404</v>
      </c>
      <c r="AF1" s="4" t="s">
        <v>84</v>
      </c>
    </row>
    <row r="2" spans="1:32" x14ac:dyDescent="0.2">
      <c r="A2" s="4" t="s">
        <v>182</v>
      </c>
      <c r="B2" s="30" t="s">
        <v>4</v>
      </c>
      <c r="C2" s="30" t="s">
        <v>194</v>
      </c>
      <c r="D2" s="30" t="s">
        <v>195</v>
      </c>
      <c r="E2" s="30" t="s">
        <v>139</v>
      </c>
      <c r="F2" s="30">
        <v>1</v>
      </c>
      <c r="G2" s="30" t="s">
        <v>16</v>
      </c>
      <c r="H2" s="30" t="s">
        <v>19</v>
      </c>
      <c r="I2" s="30" t="s">
        <v>152</v>
      </c>
      <c r="J2" s="30" t="s">
        <v>28</v>
      </c>
      <c r="K2" s="30" t="s">
        <v>146</v>
      </c>
      <c r="L2" s="31">
        <v>1</v>
      </c>
      <c r="M2" s="28">
        <v>17</v>
      </c>
      <c r="N2" s="4" t="str">
        <f>VLOOKUP($M2,Pflanzenkatalog!$A$2:$AB$632,2,FALSE)</f>
        <v>Chili spitz rot</v>
      </c>
      <c r="O2" s="30" t="str">
        <f>VLOOKUP($M2,Pflanzenkatalog!$A$2:$AB$632,3,FALSE)</f>
        <v>01.03.</v>
      </c>
      <c r="P2" s="30" t="str">
        <f>VLOOKUP($M2,Pflanzenkatalog!$A$2:$AB$632,4,FALSE)</f>
        <v>25-30</v>
      </c>
      <c r="Q2" s="30" t="str">
        <f>VLOOKUP($M2,Pflanzenkatalog!$A$2:$AB$632,5,FALSE)</f>
        <v>10-14</v>
      </c>
      <c r="R2" s="30" t="str">
        <f>VLOOKUP($M2,Pflanzenkatalog!$A$2:$AB$632,6,FALSE)</f>
        <v>1</v>
      </c>
      <c r="S2" s="30" t="str">
        <f>VLOOKUP($M2,Pflanzenkatalog!$A$2:$AB$632,7,FALSE)</f>
        <v>01.05.</v>
      </c>
      <c r="T2" s="30" t="str">
        <f>VLOOKUP($M2,Pflanzenkatalog!$A$2:$AB$632,8,FALSE)</f>
        <v>nein</v>
      </c>
      <c r="U2" s="30">
        <f>VLOOKUP($M2,Pflanzenkatalog!$A$2:$AB$632,9,FALSE)</f>
        <v>40</v>
      </c>
      <c r="V2" s="30">
        <f>VLOOKUP($M2,Pflanzenkatalog!$A$2:$AB$632,10,FALSE)</f>
        <v>40</v>
      </c>
      <c r="W2" s="30" t="str">
        <f>VLOOKUP($M2,Pflanzenkatalog!$A$2:$AB$632,11,FALSE)</f>
        <v>August</v>
      </c>
      <c r="X2" s="30" t="str">
        <f>VLOOKUP($M2,Pflanzenkatalog!$A$2:$AB$632,12,FALSE)</f>
        <v>50-80 cm</v>
      </c>
      <c r="Y2" s="30" t="str">
        <f>VLOOKUP($M2,Pflanzenkatalog!$A$2:$AB$632,13,FALSE)</f>
        <v>SPAR Bio</v>
      </c>
      <c r="Z2" s="30">
        <f>VLOOKUP($M2,Pflanzenkatalog!$A$2:$AB$632,14,FALSE)</f>
        <v>0</v>
      </c>
      <c r="AA2" s="30">
        <f>VLOOKUP($M2,Pflanzenkatalog!$A$2:$AB$632,15,FALSE)</f>
        <v>0</v>
      </c>
      <c r="AB2" s="30">
        <f>VLOOKUP($M2,Pflanzenkatalog!$A$2:$AB$632,16,FALSE)</f>
        <v>0</v>
      </c>
      <c r="AC2" s="30">
        <f>VLOOKUP($M2,Pflanzenkatalog!$A$2:$AB$632,17,FALSE)</f>
        <v>0</v>
      </c>
      <c r="AD2" s="30">
        <f>VLOOKUP($M2,Pflanzenkatalog!$A$2:$AB$632,18,FALSE)</f>
        <v>0</v>
      </c>
      <c r="AE2" s="30">
        <f>VLOOKUP($M2,Pflanzenkatalog!$A$2:$AB$632,19,FALSE)</f>
        <v>0</v>
      </c>
      <c r="AF2" s="30" t="str">
        <f>VLOOKUP($M2,Pflanzenkatalog!$A$2:$AB$632,20,FALSE)</f>
        <v>Frucht</v>
      </c>
    </row>
    <row r="3" spans="1:32" x14ac:dyDescent="0.2">
      <c r="A3" s="4" t="s">
        <v>182</v>
      </c>
      <c r="B3" s="30" t="s">
        <v>4</v>
      </c>
      <c r="C3" s="30" t="s">
        <v>194</v>
      </c>
      <c r="D3" s="30" t="s">
        <v>195</v>
      </c>
      <c r="E3" s="30" t="s">
        <v>139</v>
      </c>
      <c r="F3" s="30">
        <v>1</v>
      </c>
      <c r="G3" s="30" t="s">
        <v>16</v>
      </c>
      <c r="H3" s="30" t="s">
        <v>19</v>
      </c>
      <c r="I3" s="30" t="s">
        <v>152</v>
      </c>
      <c r="J3" s="30" t="s">
        <v>28</v>
      </c>
      <c r="K3" s="30" t="s">
        <v>146</v>
      </c>
      <c r="L3" s="31">
        <v>1</v>
      </c>
      <c r="M3" s="28">
        <v>51</v>
      </c>
      <c r="N3" s="4" t="str">
        <f>VLOOKUP($M3,Pflanzenkatalog!$A$2:$AB$632,2,FALSE)</f>
        <v>Chili Diavoletto</v>
      </c>
      <c r="O3" s="30" t="str">
        <f>VLOOKUP($M3,Pflanzenkatalog!$A$2:$AB$632,3,FALSE)</f>
        <v>15.02.-15.03.</v>
      </c>
      <c r="P3" s="30" t="str">
        <f>VLOOKUP($M3,Pflanzenkatalog!$A$2:$AB$632,4,FALSE)</f>
        <v>20-25</v>
      </c>
      <c r="Q3" s="30" t="str">
        <f>VLOOKUP($M3,Pflanzenkatalog!$A$2:$AB$632,5,FALSE)</f>
        <v>10-14</v>
      </c>
      <c r="R3" s="30" t="str">
        <f>VLOOKUP($M3,Pflanzenkatalog!$A$2:$AB$632,6,FALSE)</f>
        <v>1</v>
      </c>
      <c r="S3" s="30" t="str">
        <f>VLOOKUP($M3,Pflanzenkatalog!$A$2:$AB$632,7,FALSE)</f>
        <v>15.04.-30.04.</v>
      </c>
      <c r="T3" s="30" t="str">
        <f>VLOOKUP($M3,Pflanzenkatalog!$A$2:$AB$632,8,FALSE)</f>
        <v>nein</v>
      </c>
      <c r="U3" s="30">
        <f>VLOOKUP($M3,Pflanzenkatalog!$A$2:$AB$632,9,FALSE)</f>
        <v>50</v>
      </c>
      <c r="V3" s="30">
        <f>VLOOKUP($M3,Pflanzenkatalog!$A$2:$AB$632,10,FALSE)</f>
        <v>70</v>
      </c>
      <c r="W3" s="30" t="str">
        <f>VLOOKUP($M3,Pflanzenkatalog!$A$2:$AB$632,11,FALSE)</f>
        <v>Juli</v>
      </c>
      <c r="X3" s="30" t="str">
        <f>VLOOKUP($M3,Pflanzenkatalog!$A$2:$AB$632,12,FALSE)</f>
        <v>50-80 cm</v>
      </c>
      <c r="Y3" s="30" t="str">
        <f>VLOOKUP($M3,Pflanzenkatalog!$A$2:$AB$632,13,FALSE)</f>
        <v>REINSAAT</v>
      </c>
      <c r="Z3" s="30" t="str">
        <f>VLOOKUP($M3,Pflanzenkatalog!$A$2:$AB$632,14,FALSE)</f>
        <v>Rucola, Radieschen, Pertersilie, Basilikum</v>
      </c>
      <c r="AA3" s="30">
        <f>VLOOKUP($M3,Pflanzenkatalog!$A$2:$AB$632,15,FALSE)</f>
        <v>0</v>
      </c>
      <c r="AB3" s="30">
        <f>VLOOKUP($M3,Pflanzenkatalog!$A$2:$AB$632,16,FALSE)</f>
        <v>0</v>
      </c>
      <c r="AC3" s="30" t="str">
        <f>VLOOKUP($M3,Pflanzenkatalog!$A$2:$AB$632,17,FALSE)</f>
        <v>mehrjährig! Jungpflanzen wachsen langsam, vor Frost schützen, langsam abhärten, feuchtes, lockeres und nährstoffreichen Substrat, Boden im Idealfall einen neutralen bis leicht sauren pH-Wert, mit Kompost düngen</v>
      </c>
      <c r="AD3" s="30" t="str">
        <f>VLOOKUP($M3,Pflanzenkatalog!$A$2:$AB$632,18,FALSE)</f>
        <v>Züchtung ReinSaat. Dekorativer, langgestreckter, fleischiger Chili mit attraktiven lilafarbenen Blüten, Stielen, Kelchen und Blattadern. Die Früchte reifen von lila auf goldbraun zu orangerot ab. Gut geeignet zum Frischverzehr, in Salsas oder zum Einlegen. Für Gewächshaus und geschützte Freilandlagen. Schärfegrad 6 – 7</v>
      </c>
      <c r="AE3" s="30">
        <f>VLOOKUP($M3,Pflanzenkatalog!$A$2:$AB$632,19,FALSE)</f>
        <v>0</v>
      </c>
      <c r="AF3" s="30" t="str">
        <f>VLOOKUP($M3,Pflanzenkatalog!$A$2:$AB$632,20,FALSE)</f>
        <v>Frucht</v>
      </c>
    </row>
    <row r="4" spans="1:32" x14ac:dyDescent="0.2">
      <c r="A4" s="4" t="s">
        <v>183</v>
      </c>
      <c r="B4" s="30" t="s">
        <v>4</v>
      </c>
      <c r="C4" s="30" t="s">
        <v>194</v>
      </c>
      <c r="D4" s="30" t="s">
        <v>195</v>
      </c>
      <c r="E4" s="30" t="s">
        <v>139</v>
      </c>
      <c r="F4" s="30">
        <v>1</v>
      </c>
      <c r="G4" s="30" t="s">
        <v>16</v>
      </c>
      <c r="H4" s="30" t="s">
        <v>20</v>
      </c>
      <c r="I4" s="30" t="s">
        <v>152</v>
      </c>
      <c r="J4" s="30" t="s">
        <v>28</v>
      </c>
      <c r="K4" s="30" t="s">
        <v>146</v>
      </c>
      <c r="L4" s="31">
        <v>1</v>
      </c>
      <c r="M4" s="28">
        <v>40</v>
      </c>
      <c r="N4" s="4" t="str">
        <f>VLOOKUP($M4,Pflanzenkatalog!$A$2:$AB$632,2,FALSE)</f>
        <v>Paprika Neusiedler Ideal rot</v>
      </c>
      <c r="O4" s="30" t="str">
        <f>VLOOKUP($M4,Pflanzenkatalog!$A$2:$AB$632,3,FALSE)</f>
        <v>01.02.-15.04.</v>
      </c>
      <c r="P4" s="30" t="str">
        <f>VLOOKUP($M4,Pflanzenkatalog!$A$2:$AB$632,4,FALSE)</f>
        <v>20-25</v>
      </c>
      <c r="Q4" s="30" t="str">
        <f>VLOOKUP($M4,Pflanzenkatalog!$A$2:$AB$632,5,FALSE)</f>
        <v>14-21</v>
      </c>
      <c r="R4" s="30" t="str">
        <f>VLOOKUP($M4,Pflanzenkatalog!$A$2:$AB$632,6,FALSE)</f>
        <v>0,5-1</v>
      </c>
      <c r="S4" s="30" t="str">
        <f>VLOOKUP($M4,Pflanzenkatalog!$A$2:$AB$632,7,FALSE)</f>
        <v>01.04.-01.06.</v>
      </c>
      <c r="T4" s="30" t="str">
        <f>VLOOKUP($M4,Pflanzenkatalog!$A$2:$AB$632,8,FALSE)</f>
        <v>15.05.</v>
      </c>
      <c r="U4" s="30">
        <f>VLOOKUP($M4,Pflanzenkatalog!$A$2:$AB$632,9,FALSE)</f>
        <v>50</v>
      </c>
      <c r="V4" s="30">
        <f>VLOOKUP($M4,Pflanzenkatalog!$A$2:$AB$632,10,FALSE)</f>
        <v>70</v>
      </c>
      <c r="W4" s="30" t="str">
        <f>VLOOKUP($M4,Pflanzenkatalog!$A$2:$AB$632,11,FALSE)</f>
        <v>Juli</v>
      </c>
      <c r="X4" s="30">
        <f>VLOOKUP($M4,Pflanzenkatalog!$A$2:$AB$632,12,FALSE)</f>
        <v>0</v>
      </c>
      <c r="Y4" s="30" t="str">
        <f>VLOOKUP($M4,Pflanzenkatalog!$A$2:$AB$632,13,FALSE)</f>
        <v>KIEPENKERL</v>
      </c>
      <c r="Z4" s="30" t="str">
        <f>VLOOKUP($M4,Pflanzenkatalog!$A$2:$AB$632,14,FALSE)</f>
        <v>Salat</v>
      </c>
      <c r="AA4" s="30" t="str">
        <f>VLOOKUP($M4,Pflanzenkatalog!$A$2:$AB$632,15,FALSE)</f>
        <v>Tagetes gegen Nematoden, Viren und weiße Fliege</v>
      </c>
      <c r="AB4" s="30">
        <f>VLOOKUP($M4,Pflanzenkatalog!$A$2:$AB$632,16,FALSE)</f>
        <v>0</v>
      </c>
      <c r="AC4" s="30" t="str">
        <f>VLOOKUP($M4,Pflanzenkatalog!$A$2:$AB$632,17,FALSE)</f>
        <v>Neusiedler Ideal' liefert hohe Erträge in der Ernteperiode von Mitte Juli bis Oktober. Eine Direktaussaat ins Freiland kann ab Mitte Mai erfolgen. Hier kommt es auf einen sonnigen, warmen und windgeschützten Standort an. Wer eher aussäen möchte, kann mit der Vorkultur im Haus ab Februar starten. Für den Gewächshausanbau ist die Sorte ebenfalls geeignet.</v>
      </c>
      <c r="AD4" s="30" t="str">
        <f>VLOOKUP($M4,Pflanzenkatalog!$A$2:$AB$632,18,FALSE)</f>
        <v>Bei der Paprika 'Neusiedler Ideal' handelt es sich um eine leckere Speisepaprika mit blockigen Früchten, welche von Grün nach Rot abreifen. Sie können sowohl im grünen als auch im roten Stadium geerntet werden, wobei die voll abgereiften roten Paprika süßer im Geschmack sind. Bezüglich ihrer Inhaltsstoffe unterscheiden sie sich allerdings nicht. Die grünen und roten Früchte sind gleichermaßen gesund, da sie vor allem wichtige Vitamine enthalten, beispielsweise jede Menge Vitamin C. Voll ausgefärbte Früchte haben den höchsten Vitamin C-Gehalt.</v>
      </c>
      <c r="AE4" s="30">
        <f>VLOOKUP($M4,Pflanzenkatalog!$A$2:$AB$632,19,FALSE)</f>
        <v>0</v>
      </c>
      <c r="AF4" s="30" t="str">
        <f>VLOOKUP($M4,Pflanzenkatalog!$A$2:$AB$632,20,FALSE)</f>
        <v>Frucht</v>
      </c>
    </row>
    <row r="5" spans="1:32" x14ac:dyDescent="0.2">
      <c r="A5" s="4" t="s">
        <v>183</v>
      </c>
      <c r="B5" s="30" t="s">
        <v>4</v>
      </c>
      <c r="C5" s="30" t="s">
        <v>194</v>
      </c>
      <c r="D5" s="30" t="s">
        <v>195</v>
      </c>
      <c r="E5" s="30" t="s">
        <v>139</v>
      </c>
      <c r="F5" s="30">
        <v>1</v>
      </c>
      <c r="G5" s="30" t="s">
        <v>16</v>
      </c>
      <c r="H5" s="30" t="s">
        <v>20</v>
      </c>
      <c r="I5" s="30" t="s">
        <v>152</v>
      </c>
      <c r="J5" s="30" t="s">
        <v>28</v>
      </c>
      <c r="K5" s="30" t="s">
        <v>146</v>
      </c>
      <c r="L5" s="31">
        <v>1</v>
      </c>
      <c r="M5" s="28">
        <v>50</v>
      </c>
      <c r="N5" s="4" t="str">
        <f>VLOOKUP($M5,Pflanzenkatalog!$A$2:$AB$632,2,FALSE)</f>
        <v>Paprika Snack Hamik</v>
      </c>
      <c r="O5" s="30" t="str">
        <f>VLOOKUP($M5,Pflanzenkatalog!$A$2:$AB$632,3,FALSE)</f>
        <v>15.01.-31.03.</v>
      </c>
      <c r="P5" s="30" t="str">
        <f>VLOOKUP($M5,Pflanzenkatalog!$A$2:$AB$632,4,FALSE)</f>
        <v>20-25</v>
      </c>
      <c r="Q5" s="30" t="str">
        <f>VLOOKUP($M5,Pflanzenkatalog!$A$2:$AB$632,5,FALSE)</f>
        <v>14-21</v>
      </c>
      <c r="R5" s="30" t="str">
        <f>VLOOKUP($M5,Pflanzenkatalog!$A$2:$AB$632,6,FALSE)</f>
        <v>0,5-1</v>
      </c>
      <c r="S5" s="30" t="str">
        <f>VLOOKUP($M5,Pflanzenkatalog!$A$2:$AB$632,7,FALSE)</f>
        <v>15.04.-30.04.</v>
      </c>
      <c r="T5" s="30" t="str">
        <f>VLOOKUP($M5,Pflanzenkatalog!$A$2:$AB$632,8,FALSE)</f>
        <v>15.05.-15.06.</v>
      </c>
      <c r="U5" s="30">
        <f>VLOOKUP($M5,Pflanzenkatalog!$A$2:$AB$632,9,FALSE)</f>
        <v>50</v>
      </c>
      <c r="V5" s="30">
        <f>VLOOKUP($M5,Pflanzenkatalog!$A$2:$AB$632,10,FALSE)</f>
        <v>70</v>
      </c>
      <c r="W5" s="30" t="str">
        <f>VLOOKUP($M5,Pflanzenkatalog!$A$2:$AB$632,11,FALSE)</f>
        <v>Juli</v>
      </c>
      <c r="X5" s="30" t="str">
        <f>VLOOKUP($M5,Pflanzenkatalog!$A$2:$AB$632,12,FALSE)</f>
        <v>20-50 cm</v>
      </c>
      <c r="Y5" s="30" t="str">
        <f>VLOOKUP($M5,Pflanzenkatalog!$A$2:$AB$632,13,FALSE)</f>
        <v>REINSAAT</v>
      </c>
      <c r="Z5" s="30" t="str">
        <f>VLOOKUP($M5,Pflanzenkatalog!$A$2:$AB$632,14,FALSE)</f>
        <v>Salat</v>
      </c>
      <c r="AA5" s="30" t="str">
        <f>VLOOKUP($M5,Pflanzenkatalog!$A$2:$AB$632,15,FALSE)</f>
        <v>Tagetes gegen Nematoden, Viren und weiße Fliege</v>
      </c>
      <c r="AB5" s="30">
        <f>VLOOKUP($M5,Pflanzenkatalog!$A$2:$AB$632,16,FALSE)</f>
        <v>0</v>
      </c>
      <c r="AC5" s="30">
        <f>VLOOKUP($M5,Pflanzenkatalog!$A$2:$AB$632,17,FALSE)</f>
        <v>0</v>
      </c>
      <c r="AD5" s="30">
        <f>VLOOKUP($M5,Pflanzenkatalog!$A$2:$AB$632,18,FALSE)</f>
        <v>0</v>
      </c>
      <c r="AE5" s="30">
        <f>VLOOKUP($M5,Pflanzenkatalog!$A$2:$AB$632,19,FALSE)</f>
        <v>0</v>
      </c>
      <c r="AF5" s="30" t="str">
        <f>VLOOKUP($M5,Pflanzenkatalog!$A$2:$AB$632,20,FALSE)</f>
        <v>Frucht</v>
      </c>
    </row>
    <row r="6" spans="1:32" x14ac:dyDescent="0.2">
      <c r="A6" s="4" t="s">
        <v>184</v>
      </c>
      <c r="B6" s="30" t="s">
        <v>4</v>
      </c>
      <c r="C6" s="30" t="s">
        <v>194</v>
      </c>
      <c r="D6" s="30" t="s">
        <v>195</v>
      </c>
      <c r="E6" s="30" t="s">
        <v>139</v>
      </c>
      <c r="F6" s="30">
        <v>1</v>
      </c>
      <c r="G6" s="30" t="s">
        <v>16</v>
      </c>
      <c r="H6" s="30" t="s">
        <v>144</v>
      </c>
      <c r="I6" s="30" t="s">
        <v>151</v>
      </c>
      <c r="J6" s="30" t="s">
        <v>153</v>
      </c>
      <c r="K6" s="30" t="s">
        <v>146</v>
      </c>
      <c r="L6" s="31">
        <v>1</v>
      </c>
      <c r="M6" s="28">
        <v>18</v>
      </c>
      <c r="N6" s="4" t="str">
        <f>VLOOKUP($M6,Pflanzenkatalog!$A$2:$AB$632,2,FALSE)</f>
        <v>Paprika spitz rot</v>
      </c>
      <c r="O6" s="30" t="str">
        <f>VLOOKUP($M6,Pflanzenkatalog!$A$2:$AB$632,3,FALSE)</f>
        <v>01.02.-15.04.</v>
      </c>
      <c r="P6" s="30" t="str">
        <f>VLOOKUP($M6,Pflanzenkatalog!$A$2:$AB$632,4,FALSE)</f>
        <v>22-25</v>
      </c>
      <c r="Q6" s="30" t="str">
        <f>VLOOKUP($M6,Pflanzenkatalog!$A$2:$AB$632,5,FALSE)</f>
        <v>10-14</v>
      </c>
      <c r="R6" s="30" t="str">
        <f>VLOOKUP($M6,Pflanzenkatalog!$A$2:$AB$632,6,FALSE)</f>
        <v>0,5-1</v>
      </c>
      <c r="S6" s="30" t="str">
        <f>VLOOKUP($M6,Pflanzenkatalog!$A$2:$AB$632,7,FALSE)</f>
        <v>01.04.-01.06.</v>
      </c>
      <c r="T6" s="30" t="str">
        <f>VLOOKUP($M6,Pflanzenkatalog!$A$2:$AB$632,8,FALSE)</f>
        <v>nein</v>
      </c>
      <c r="U6" s="30">
        <f>VLOOKUP($M6,Pflanzenkatalog!$A$2:$AB$632,9,FALSE)</f>
        <v>60</v>
      </c>
      <c r="V6" s="30">
        <f>VLOOKUP($M6,Pflanzenkatalog!$A$2:$AB$632,10,FALSE)</f>
        <v>80</v>
      </c>
      <c r="W6" s="30" t="str">
        <f>VLOOKUP($M6,Pflanzenkatalog!$A$2:$AB$632,11,FALSE)</f>
        <v>Juli</v>
      </c>
      <c r="X6" s="30" t="str">
        <f>VLOOKUP($M6,Pflanzenkatalog!$A$2:$AB$632,12,FALSE)</f>
        <v>50-80 cm</v>
      </c>
      <c r="Y6" s="30" t="str">
        <f>VLOOKUP($M6,Pflanzenkatalog!$A$2:$AB$632,13,FALSE)</f>
        <v>SPAR Bio</v>
      </c>
      <c r="Z6" s="30">
        <f>VLOOKUP($M6,Pflanzenkatalog!$A$2:$AB$632,14,FALSE)</f>
        <v>0</v>
      </c>
      <c r="AA6" s="30">
        <f>VLOOKUP($M6,Pflanzenkatalog!$A$2:$AB$632,15,FALSE)</f>
        <v>0</v>
      </c>
      <c r="AB6" s="30">
        <f>VLOOKUP($M6,Pflanzenkatalog!$A$2:$AB$632,16,FALSE)</f>
        <v>0</v>
      </c>
      <c r="AC6" s="30">
        <f>VLOOKUP($M6,Pflanzenkatalog!$A$2:$AB$632,17,FALSE)</f>
        <v>0</v>
      </c>
      <c r="AD6" s="30">
        <f>VLOOKUP($M6,Pflanzenkatalog!$A$2:$AB$632,18,FALSE)</f>
        <v>0</v>
      </c>
      <c r="AE6" s="30">
        <f>VLOOKUP($M6,Pflanzenkatalog!$A$2:$AB$632,19,FALSE)</f>
        <v>0</v>
      </c>
      <c r="AF6" s="30" t="str">
        <f>VLOOKUP($M6,Pflanzenkatalog!$A$2:$AB$632,20,FALSE)</f>
        <v>Frucht</v>
      </c>
    </row>
    <row r="7" spans="1:32" x14ac:dyDescent="0.2">
      <c r="A7" s="4" t="s">
        <v>184</v>
      </c>
      <c r="B7" s="30" t="s">
        <v>4</v>
      </c>
      <c r="C7" s="30" t="s">
        <v>194</v>
      </c>
      <c r="D7" s="30" t="s">
        <v>195</v>
      </c>
      <c r="E7" s="30" t="s">
        <v>139</v>
      </c>
      <c r="F7" s="30">
        <v>1</v>
      </c>
      <c r="G7" s="30" t="s">
        <v>16</v>
      </c>
      <c r="H7" s="30" t="s">
        <v>144</v>
      </c>
      <c r="I7" s="30" t="s">
        <v>151</v>
      </c>
      <c r="J7" s="30" t="s">
        <v>153</v>
      </c>
      <c r="K7" s="30" t="s">
        <v>146</v>
      </c>
      <c r="L7" s="31">
        <v>1</v>
      </c>
      <c r="M7" s="28">
        <v>18</v>
      </c>
      <c r="N7" s="4" t="str">
        <f>VLOOKUP($M7,Pflanzenkatalog!$A$2:$AB$632,2,FALSE)</f>
        <v>Paprika spitz rot</v>
      </c>
      <c r="O7" s="30" t="str">
        <f>VLOOKUP($M7,Pflanzenkatalog!$A$2:$AB$632,3,FALSE)</f>
        <v>01.02.-15.04.</v>
      </c>
      <c r="P7" s="30" t="str">
        <f>VLOOKUP($M7,Pflanzenkatalog!$A$2:$AB$632,4,FALSE)</f>
        <v>22-25</v>
      </c>
      <c r="Q7" s="30" t="str">
        <f>VLOOKUP($M7,Pflanzenkatalog!$A$2:$AB$632,5,FALSE)</f>
        <v>10-14</v>
      </c>
      <c r="R7" s="30" t="str">
        <f>VLOOKUP($M7,Pflanzenkatalog!$A$2:$AB$632,6,FALSE)</f>
        <v>0,5-1</v>
      </c>
      <c r="S7" s="30" t="str">
        <f>VLOOKUP($M7,Pflanzenkatalog!$A$2:$AB$632,7,FALSE)</f>
        <v>01.04.-01.06.</v>
      </c>
      <c r="T7" s="30" t="str">
        <f>VLOOKUP($M7,Pflanzenkatalog!$A$2:$AB$632,8,FALSE)</f>
        <v>nein</v>
      </c>
      <c r="U7" s="30">
        <f>VLOOKUP($M7,Pflanzenkatalog!$A$2:$AB$632,9,FALSE)</f>
        <v>60</v>
      </c>
      <c r="V7" s="30">
        <f>VLOOKUP($M7,Pflanzenkatalog!$A$2:$AB$632,10,FALSE)</f>
        <v>80</v>
      </c>
      <c r="W7" s="30" t="str">
        <f>VLOOKUP($M7,Pflanzenkatalog!$A$2:$AB$632,11,FALSE)</f>
        <v>Juli</v>
      </c>
      <c r="X7" s="30" t="str">
        <f>VLOOKUP($M7,Pflanzenkatalog!$A$2:$AB$632,12,FALSE)</f>
        <v>50-80 cm</v>
      </c>
      <c r="Y7" s="30" t="str">
        <f>VLOOKUP($M7,Pflanzenkatalog!$A$2:$AB$632,13,FALSE)</f>
        <v>SPAR Bio</v>
      </c>
      <c r="Z7" s="30">
        <f>VLOOKUP($M7,Pflanzenkatalog!$A$2:$AB$632,14,FALSE)</f>
        <v>0</v>
      </c>
      <c r="AA7" s="30">
        <f>VLOOKUP($M7,Pflanzenkatalog!$A$2:$AB$632,15,FALSE)</f>
        <v>0</v>
      </c>
      <c r="AB7" s="30">
        <f>VLOOKUP($M7,Pflanzenkatalog!$A$2:$AB$632,16,FALSE)</f>
        <v>0</v>
      </c>
      <c r="AC7" s="30">
        <f>VLOOKUP($M7,Pflanzenkatalog!$A$2:$AB$632,17,FALSE)</f>
        <v>0</v>
      </c>
      <c r="AD7" s="30">
        <f>VLOOKUP($M7,Pflanzenkatalog!$A$2:$AB$632,18,FALSE)</f>
        <v>0</v>
      </c>
      <c r="AE7" s="30">
        <f>VLOOKUP($M7,Pflanzenkatalog!$A$2:$AB$632,19,FALSE)</f>
        <v>0</v>
      </c>
      <c r="AF7" s="30" t="str">
        <f>VLOOKUP($M7,Pflanzenkatalog!$A$2:$AB$632,20,FALSE)</f>
        <v>Frucht</v>
      </c>
    </row>
    <row r="8" spans="1:32" x14ac:dyDescent="0.2">
      <c r="A8" s="4" t="s">
        <v>179</v>
      </c>
      <c r="B8" s="30" t="s">
        <v>4</v>
      </c>
      <c r="C8" s="30" t="s">
        <v>194</v>
      </c>
      <c r="D8" s="30" t="s">
        <v>195</v>
      </c>
      <c r="E8" s="30" t="s">
        <v>139</v>
      </c>
      <c r="F8" s="30">
        <v>1</v>
      </c>
      <c r="G8" s="30" t="s">
        <v>27</v>
      </c>
      <c r="H8" s="30" t="s">
        <v>19</v>
      </c>
      <c r="I8" s="30" t="s">
        <v>151</v>
      </c>
      <c r="J8" s="30" t="s">
        <v>43</v>
      </c>
      <c r="K8" s="30" t="s">
        <v>146</v>
      </c>
      <c r="L8" s="31">
        <v>1</v>
      </c>
      <c r="M8" s="28">
        <v>6</v>
      </c>
      <c r="N8" s="4" t="str">
        <f>VLOOKUP($M8,Pflanzenkatalog!$A$2:$AB$632,2,FALSE)</f>
        <v>Cocktailparadeiser Golden Perfection</v>
      </c>
      <c r="O8" s="30" t="str">
        <f>VLOOKUP($M8,Pflanzenkatalog!$A$2:$AB$632,3,FALSE)</f>
        <v>15.03-15.04</v>
      </c>
      <c r="P8" s="30" t="str">
        <f>VLOOKUP($M8,Pflanzenkatalog!$A$2:$AB$632,4,FALSE)</f>
        <v>20-25</v>
      </c>
      <c r="Q8" s="30" t="str">
        <f>VLOOKUP($M8,Pflanzenkatalog!$A$2:$AB$632,5,FALSE)</f>
        <v>8-10</v>
      </c>
      <c r="R8" s="30" t="str">
        <f>VLOOKUP($M8,Pflanzenkatalog!$A$2:$AB$632,6,FALSE)</f>
        <v>Licht</v>
      </c>
      <c r="S8" s="30" t="str">
        <f>VLOOKUP($M8,Pflanzenkatalog!$A$2:$AB$632,7,FALSE)</f>
        <v>15.05-31.05.</v>
      </c>
      <c r="T8" s="30" t="str">
        <f>VLOOKUP($M8,Pflanzenkatalog!$A$2:$AB$632,8,FALSE)</f>
        <v>nein</v>
      </c>
      <c r="U8" s="30">
        <f>VLOOKUP($M8,Pflanzenkatalog!$A$2:$AB$632,9,FALSE)</f>
        <v>50</v>
      </c>
      <c r="V8" s="30">
        <f>VLOOKUP($M8,Pflanzenkatalog!$A$2:$AB$632,10,FALSE)</f>
        <v>100</v>
      </c>
      <c r="W8" s="30" t="str">
        <f>VLOOKUP($M8,Pflanzenkatalog!$A$2:$AB$632,11,FALSE)</f>
        <v>Juni</v>
      </c>
      <c r="X8" s="30" t="str">
        <f>VLOOKUP($M8,Pflanzenkatalog!$A$2:$AB$632,12,FALSE)</f>
        <v>unbegrenzt</v>
      </c>
      <c r="Y8" s="30" t="str">
        <f>VLOOKUP($M8,Pflanzenkatalog!$A$2:$AB$632,13,FALSE)</f>
        <v>Arche Noah</v>
      </c>
      <c r="Z8" s="30" t="str">
        <f>VLOOKUP($M8,Pflanzenkatalog!$A$2:$AB$632,14,FALSE)</f>
        <v xml:space="preserve">	Buschbohne, Knoblauch, Kohl, Kohlrabi</v>
      </c>
      <c r="AA8" s="30" t="str">
        <f>VLOOKUP($M8,Pflanzenkatalog!$A$2:$AB$632,15,FALSE)</f>
        <v>Basilikum, gegen Mehltau und weiße Fliege
Tagetes, gegen Nematoden, Viren und weiße Fliege</v>
      </c>
      <c r="AB8" s="30" t="str">
        <f>VLOOKUP($M8,Pflanzenkatalog!$A$2:$AB$632,16,FALSE)</f>
        <v>Erbse, Fenchel, Kartoffeln</v>
      </c>
      <c r="AC8" s="30" t="str">
        <f>VLOOKUP($M8,Pflanzenkatalog!$A$2:$AB$632,17,FALSE)</f>
        <v>sonniger Standort</v>
      </c>
      <c r="AD8" s="30" t="str">
        <f>VLOOKUP($M8,Pflanzenkatalog!$A$2:$AB$632,18,FALSE)</f>
        <v>Goldgelbe Cocktailtomate. Die Früchte sind rund und werden ungefähr 2,5-3cm groß. Im Geschmack sehr süß und aromatisch. Unbegrenzt wachsende Pflanze, entwickelt viele Nebentriebe. Seit 1985 aus Tartu, Estland.</v>
      </c>
      <c r="AE8" s="30">
        <f>VLOOKUP($M8,Pflanzenkatalog!$A$2:$AB$632,19,FALSE)</f>
        <v>0</v>
      </c>
      <c r="AF8" s="30" t="str">
        <f>VLOOKUP($M8,Pflanzenkatalog!$A$2:$AB$632,20,FALSE)</f>
        <v>Frucht</v>
      </c>
    </row>
    <row r="9" spans="1:32" x14ac:dyDescent="0.2">
      <c r="A9" s="4" t="s">
        <v>179</v>
      </c>
      <c r="B9" s="30" t="s">
        <v>4</v>
      </c>
      <c r="C9" s="30" t="s">
        <v>194</v>
      </c>
      <c r="D9" s="30" t="s">
        <v>195</v>
      </c>
      <c r="E9" s="30" t="s">
        <v>139</v>
      </c>
      <c r="F9" s="30">
        <v>1</v>
      </c>
      <c r="G9" s="30" t="s">
        <v>27</v>
      </c>
      <c r="H9" s="30" t="s">
        <v>19</v>
      </c>
      <c r="I9" s="30" t="s">
        <v>151</v>
      </c>
      <c r="J9" s="30" t="s">
        <v>43</v>
      </c>
      <c r="K9" s="30" t="s">
        <v>146</v>
      </c>
      <c r="L9" s="31">
        <v>1</v>
      </c>
      <c r="M9" s="28">
        <v>1</v>
      </c>
      <c r="N9" s="4" t="str">
        <f>VLOOKUP($M9,Pflanzenkatalog!$A$2:$AB$632,2,FALSE)</f>
        <v>Fleischparadeiser Rotes Herz</v>
      </c>
      <c r="O9" s="30" t="str">
        <f>VLOOKUP($M9,Pflanzenkatalog!$A$2:$AB$632,3,FALSE)</f>
        <v>15.03-15.04</v>
      </c>
      <c r="P9" s="30" t="str">
        <f>VLOOKUP($M9,Pflanzenkatalog!$A$2:$AB$632,4,FALSE)</f>
        <v>20-25</v>
      </c>
      <c r="Q9" s="30" t="str">
        <f>VLOOKUP($M9,Pflanzenkatalog!$A$2:$AB$632,5,FALSE)</f>
        <v>8-10</v>
      </c>
      <c r="R9" s="30" t="str">
        <f>VLOOKUP($M9,Pflanzenkatalog!$A$2:$AB$632,6,FALSE)</f>
        <v>Licht</v>
      </c>
      <c r="S9" s="30" t="str">
        <f>VLOOKUP($M9,Pflanzenkatalog!$A$2:$AB$632,7,FALSE)</f>
        <v>15.05-31.05.</v>
      </c>
      <c r="T9" s="30" t="str">
        <f>VLOOKUP($M9,Pflanzenkatalog!$A$2:$AB$632,8,FALSE)</f>
        <v>nein</v>
      </c>
      <c r="U9" s="30">
        <f>VLOOKUP($M9,Pflanzenkatalog!$A$2:$AB$632,9,FALSE)</f>
        <v>50</v>
      </c>
      <c r="V9" s="30">
        <f>VLOOKUP($M9,Pflanzenkatalog!$A$2:$AB$632,10,FALSE)</f>
        <v>100</v>
      </c>
      <c r="W9" s="30" t="str">
        <f>VLOOKUP($M9,Pflanzenkatalog!$A$2:$AB$632,11,FALSE)</f>
        <v>August</v>
      </c>
      <c r="X9" s="30" t="str">
        <f>VLOOKUP($M9,Pflanzenkatalog!$A$2:$AB$632,12,FALSE)</f>
        <v>unbegrenzt, locker belaubt, wirkt im Jugendstadium schwach, bisweilen bräunliche Blätter die später verschwinden</v>
      </c>
      <c r="Y9" s="30" t="str">
        <f>VLOOKUP($M9,Pflanzenkatalog!$A$2:$AB$632,13,FALSE)</f>
        <v>Arche Noah</v>
      </c>
      <c r="Z9" s="30" t="str">
        <f>VLOOKUP($M9,Pflanzenkatalog!$A$2:$AB$632,14,FALSE)</f>
        <v xml:space="preserve">	Buschbohne, Knoblauch, Kohl, Kohlrabi</v>
      </c>
      <c r="AA9" s="30" t="str">
        <f>VLOOKUP($M9,Pflanzenkatalog!$A$2:$AB$632,15,FALSE)</f>
        <v>Basilikum, gegen Mehltau und weiße Fliege
Tagetes, gegen Nematoden, Viren und weiße Fliege</v>
      </c>
      <c r="AB9" s="30" t="str">
        <f>VLOOKUP($M9,Pflanzenkatalog!$A$2:$AB$632,16,FALSE)</f>
        <v>Erbse, Fenchel, Kartoffeln</v>
      </c>
      <c r="AC9" s="30" t="str">
        <f>VLOOKUP($M9,Pflanzenkatalog!$A$2:$AB$632,17,FALSE)</f>
        <v>Ausgeizen, Mulchen, warm, Schutz vor Regen, mäßig von unten gießen</v>
      </c>
      <c r="AD9" s="30" t="str">
        <f>VLOOKUP($M9,Pflanzenkatalog!$A$2:$AB$632,18,FALSE)</f>
        <v>Das rotes Ochsenherz lässt sich vielfältig verwenden, für Suppen, Saucen und Salate. Die Ausgewogenheit von Süße und Säure ergibt einen sehr guten Geschmack, herzförmig, schwach gerippt und 10-12 cm groß. Ursprünglich stammt die Sorte aus Kroatien.</v>
      </c>
      <c r="AE9" s="30">
        <f>VLOOKUP($M9,Pflanzenkatalog!$A$2:$AB$632,19,FALSE)</f>
        <v>0</v>
      </c>
      <c r="AF9" s="30" t="str">
        <f>VLOOKUP($M9,Pflanzenkatalog!$A$2:$AB$632,20,FALSE)</f>
        <v>Frucht</v>
      </c>
    </row>
    <row r="10" spans="1:32" x14ac:dyDescent="0.2">
      <c r="A10" s="4" t="s">
        <v>179</v>
      </c>
      <c r="B10" s="30" t="s">
        <v>4</v>
      </c>
      <c r="C10" s="30" t="s">
        <v>194</v>
      </c>
      <c r="D10" s="30" t="s">
        <v>195</v>
      </c>
      <c r="E10" s="30" t="s">
        <v>139</v>
      </c>
      <c r="F10" s="30">
        <v>1</v>
      </c>
      <c r="G10" s="30" t="s">
        <v>27</v>
      </c>
      <c r="H10" s="30" t="s">
        <v>19</v>
      </c>
      <c r="I10" s="30" t="s">
        <v>151</v>
      </c>
      <c r="J10" s="30" t="s">
        <v>43</v>
      </c>
      <c r="K10" s="30" t="s">
        <v>146</v>
      </c>
      <c r="L10" s="31">
        <v>1</v>
      </c>
      <c r="M10" s="28">
        <v>3</v>
      </c>
      <c r="N10" s="4" t="str">
        <f>VLOOKUP($M10,Pflanzenkatalog!$A$2:$AB$632,2,FALSE)</f>
        <v>Basilikum Genoveser</v>
      </c>
      <c r="O10" s="30" t="str">
        <f>VLOOKUP($M10,Pflanzenkatalog!$A$2:$AB$632,3,FALSE)</f>
        <v>01.01.-31.12.</v>
      </c>
      <c r="P10" s="30" t="str">
        <f>VLOOKUP($M10,Pflanzenkatalog!$A$2:$AB$632,4,FALSE)</f>
        <v>18-22</v>
      </c>
      <c r="Q10" s="30" t="str">
        <f>VLOOKUP($M10,Pflanzenkatalog!$A$2:$AB$632,5,FALSE)</f>
        <v>14-18</v>
      </c>
      <c r="R10" s="30" t="str">
        <f>VLOOKUP($M10,Pflanzenkatalog!$A$2:$AB$632,6,FALSE)</f>
        <v>Licht</v>
      </c>
      <c r="S10" s="30" t="str">
        <f>VLOOKUP($M10,Pflanzenkatalog!$A$2:$AB$632,7,FALSE)</f>
        <v>01.05.</v>
      </c>
      <c r="T10" s="30" t="str">
        <f>VLOOKUP($M10,Pflanzenkatalog!$A$2:$AB$632,8,FALSE)</f>
        <v>31.05.-31.07.</v>
      </c>
      <c r="U10" s="30">
        <f>VLOOKUP($M10,Pflanzenkatalog!$A$2:$AB$632,9,FALSE)</f>
        <v>30</v>
      </c>
      <c r="V10" s="30">
        <f>VLOOKUP($M10,Pflanzenkatalog!$A$2:$AB$632,10,FALSE)</f>
        <v>30</v>
      </c>
      <c r="W10" s="30" t="str">
        <f>VLOOKUP($M10,Pflanzenkatalog!$A$2:$AB$632,11,FALSE)</f>
        <v>Ganzjährig</v>
      </c>
      <c r="X10" s="30" t="str">
        <f>VLOOKUP($M10,Pflanzenkatalog!$A$2:$AB$632,12,FALSE)</f>
        <v>Busch bis 50 cm</v>
      </c>
      <c r="Y10" s="30" t="str">
        <f>VLOOKUP($M10,Pflanzenkatalog!$A$2:$AB$632,13,FALSE)</f>
        <v>samenmaier Bio</v>
      </c>
      <c r="Z10" s="30" t="str">
        <f>VLOOKUP($M10,Pflanzenkatalog!$A$2:$AB$632,14,FALSE)</f>
        <v>Tomaten, Gurken, Kohl	gegen Mehltau und weiße Fliege</v>
      </c>
      <c r="AA10" s="30">
        <f>VLOOKUP($M10,Pflanzenkatalog!$A$2:$AB$632,15,FALSE)</f>
        <v>0</v>
      </c>
      <c r="AB10" s="30">
        <f>VLOOKUP($M10,Pflanzenkatalog!$A$2:$AB$632,16,FALSE)</f>
        <v>0</v>
      </c>
      <c r="AC10" s="30" t="str">
        <f>VLOOKUP($M10,Pflanzenkatalog!$A$2:$AB$632,17,FALSE)</f>
        <v>sonniger Standort , durchlässiger Boden</v>
      </c>
      <c r="AD10" s="30" t="str">
        <f>VLOOKUP($M10,Pflanzenkatalog!$A$2:$AB$632,18,FALSE)</f>
        <v>Bekommt sie genügend Wärme, wächst sie sehr rasch.</v>
      </c>
      <c r="AE10" s="30">
        <f>VLOOKUP($M10,Pflanzenkatalog!$A$2:$AB$632,19,FALSE)</f>
        <v>0</v>
      </c>
      <c r="AF10" s="30" t="str">
        <f>VLOOKUP($M10,Pflanzenkatalog!$A$2:$AB$632,20,FALSE)</f>
        <v>Kräuter</v>
      </c>
    </row>
    <row r="11" spans="1:32" x14ac:dyDescent="0.2">
      <c r="A11" s="4" t="s">
        <v>180</v>
      </c>
      <c r="B11" s="30" t="s">
        <v>4</v>
      </c>
      <c r="C11" s="30" t="s">
        <v>194</v>
      </c>
      <c r="D11" s="30" t="s">
        <v>195</v>
      </c>
      <c r="E11" s="30" t="s">
        <v>139</v>
      </c>
      <c r="F11" s="30">
        <v>1</v>
      </c>
      <c r="G11" s="30" t="s">
        <v>27</v>
      </c>
      <c r="H11" s="30" t="s">
        <v>20</v>
      </c>
      <c r="I11" s="30" t="s">
        <v>152</v>
      </c>
      <c r="J11" s="30" t="s">
        <v>28</v>
      </c>
      <c r="K11" s="30" t="s">
        <v>146</v>
      </c>
      <c r="L11" s="31">
        <v>3</v>
      </c>
      <c r="M11" s="28">
        <v>4</v>
      </c>
      <c r="N11" s="4" t="str">
        <f>VLOOKUP($M11,Pflanzenkatalog!$A$2:$AB$632,2,FALSE)</f>
        <v>Kohlrabi Superschmelz</v>
      </c>
      <c r="O11" s="30" t="str">
        <f>VLOOKUP($M11,Pflanzenkatalog!$A$2:$AB$632,3,FALSE)</f>
        <v>15.02.-15.03.</v>
      </c>
      <c r="P11" s="30" t="str">
        <f>VLOOKUP($M11,Pflanzenkatalog!$A$2:$AB$632,4,FALSE)</f>
        <v>16-20</v>
      </c>
      <c r="Q11" s="30" t="str">
        <f>VLOOKUP($M11,Pflanzenkatalog!$A$2:$AB$632,5,FALSE)</f>
        <v>5-8</v>
      </c>
      <c r="R11" s="30">
        <f>VLOOKUP($M11,Pflanzenkatalog!$A$2:$AB$632,6,FALSE)</f>
        <v>2</v>
      </c>
      <c r="S11" s="30" t="str">
        <f>VLOOKUP($M11,Pflanzenkatalog!$A$2:$AB$632,7,FALSE)</f>
        <v>01.04.</v>
      </c>
      <c r="T11" s="30" t="str">
        <f>VLOOKUP($M11,Pflanzenkatalog!$A$2:$AB$632,8,FALSE)</f>
        <v>01.04.-31.05.</v>
      </c>
      <c r="U11" s="30">
        <f>VLOOKUP($M11,Pflanzenkatalog!$A$2:$AB$632,9,FALSE)</f>
        <v>60</v>
      </c>
      <c r="V11" s="30">
        <f>VLOOKUP($M11,Pflanzenkatalog!$A$2:$AB$632,10,FALSE)</f>
        <v>60</v>
      </c>
      <c r="W11" s="30" t="str">
        <f>VLOOKUP($M11,Pflanzenkatalog!$A$2:$AB$632,11,FALSE)</f>
        <v>August</v>
      </c>
      <c r="X11" s="30" t="str">
        <f>VLOOKUP($M11,Pflanzenkatalog!$A$2:$AB$632,12,FALSE)</f>
        <v>Riesenkohlrabi, bis zu 8 kg</v>
      </c>
      <c r="Y11" s="30" t="str">
        <f>VLOOKUP($M11,Pflanzenkatalog!$A$2:$AB$632,13,FALSE)</f>
        <v>samenmaier Bio</v>
      </c>
      <c r="Z11" s="30" t="str">
        <f>VLOOKUP($M11,Pflanzenkatalog!$A$2:$AB$632,14,FALSE)</f>
        <v>Bohnen, Erbsen, Kartoffeln, Kopfsalat, Tomaten, Radieschen, Rote Bete, Sellerie, Spinat, Lauch</v>
      </c>
      <c r="AA11" s="30">
        <f>VLOOKUP($M11,Pflanzenkatalog!$A$2:$AB$632,15,FALSE)</f>
        <v>0</v>
      </c>
      <c r="AB11" s="30">
        <f>VLOOKUP($M11,Pflanzenkatalog!$A$2:$AB$632,16,FALSE)</f>
        <v>0</v>
      </c>
      <c r="AC11" s="30" t="str">
        <f>VLOOKUP($M11,Pflanzenkatalog!$A$2:$AB$632,17,FALSE)</f>
        <v>Frostfrei! Schatten, Knolle kein Erdkontakt wegen Schimmel. Kohlanbaufläche jährlich wechseln! Nährstoffreicher, humosen Boder. Bei Trockenheit regelmäßig gießen, damit die Kohlrabi nicht platzen. Wasser- und Nährstoffmangel führt zu Wachstumsstockungen, mehrmals düngen.</v>
      </c>
      <c r="AD11" s="30" t="str">
        <f>VLOOKUP($M11,Pflanzenkatalog!$A$2:$AB$632,18,FALSE)</f>
        <v xml:space="preserve"> Zur Lagerung und zum Tiefgefrieren bestens geeignet. Alle Kohlarten sind von allen Gemüse-Arten am längsten lagerbar und gelten als typisches Wintergemüse. Schon seit der Steinzeit wird vermutet, dass Kohl als Lebensmittel für uns gedient hat.</v>
      </c>
      <c r="AE11" s="30">
        <f>VLOOKUP($M11,Pflanzenkatalog!$A$2:$AB$632,19,FALSE)</f>
        <v>0</v>
      </c>
      <c r="AF11" s="30" t="str">
        <f>VLOOKUP($M11,Pflanzenkatalog!$A$2:$AB$632,20,FALSE)</f>
        <v>Kohl</v>
      </c>
    </row>
    <row r="12" spans="1:32" x14ac:dyDescent="0.2">
      <c r="A12" s="4" t="s">
        <v>181</v>
      </c>
      <c r="B12" s="30" t="s">
        <v>4</v>
      </c>
      <c r="C12" s="30" t="s">
        <v>194</v>
      </c>
      <c r="D12" s="30" t="s">
        <v>195</v>
      </c>
      <c r="E12" s="30" t="s">
        <v>139</v>
      </c>
      <c r="F12" s="30">
        <v>1</v>
      </c>
      <c r="G12" s="30" t="s">
        <v>27</v>
      </c>
      <c r="H12" s="30" t="s">
        <v>144</v>
      </c>
      <c r="I12" s="30" t="s">
        <v>152</v>
      </c>
      <c r="J12" s="30" t="s">
        <v>28</v>
      </c>
      <c r="K12" s="30" t="s">
        <v>146</v>
      </c>
      <c r="L12" s="31">
        <v>10</v>
      </c>
      <c r="M12" s="28">
        <v>41</v>
      </c>
      <c r="N12" s="4" t="str">
        <f>VLOOKUP($M12,Pflanzenkatalog!$A$2:$AB$632,2,FALSE)</f>
        <v>Zwiebel Mix</v>
      </c>
      <c r="O12" s="30" t="str">
        <f>VLOOKUP($M12,Pflanzenkatalog!$A$2:$AB$632,3,FALSE)</f>
        <v>01.02-31.03.</v>
      </c>
      <c r="P12" s="30" t="str">
        <f>VLOOKUP($M12,Pflanzenkatalog!$A$2:$AB$632,4,FALSE)</f>
        <v>10-20</v>
      </c>
      <c r="Q12" s="30" t="str">
        <f>VLOOKUP($M12,Pflanzenkatalog!$A$2:$AB$632,5,FALSE)</f>
        <v>14-25</v>
      </c>
      <c r="R12" s="30" t="str">
        <f>VLOOKUP($M12,Pflanzenkatalog!$A$2:$AB$632,6,FALSE)</f>
        <v>1-3</v>
      </c>
      <c r="S12" s="30" t="str">
        <f>VLOOKUP($M12,Pflanzenkatalog!$A$2:$AB$632,7,FALSE)</f>
        <v>01.04.</v>
      </c>
      <c r="T12" s="30" t="str">
        <f>VLOOKUP($M12,Pflanzenkatalog!$A$2:$AB$632,8,FALSE)</f>
        <v>01.03.-30.04.</v>
      </c>
      <c r="U12" s="30">
        <f>VLOOKUP($M12,Pflanzenkatalog!$A$2:$AB$632,9,FALSE)</f>
        <v>5</v>
      </c>
      <c r="V12" s="30">
        <f>VLOOKUP($M12,Pflanzenkatalog!$A$2:$AB$632,10,FALSE)</f>
        <v>25</v>
      </c>
      <c r="W12" s="30" t="str">
        <f>VLOOKUP($M12,Pflanzenkatalog!$A$2:$AB$632,11,FALSE)</f>
        <v>Mai</v>
      </c>
      <c r="X12" s="30" t="str">
        <f>VLOOKUP($M12,Pflanzenkatalog!$A$2:$AB$632,12,FALSE)</f>
        <v>Jungzwiebel Mai/Juni, Knolle August (wenn Laub knickt)</v>
      </c>
      <c r="Y12" s="30" t="str">
        <f>VLOOKUP($M12,Pflanzenkatalog!$A$2:$AB$632,13,FALSE)</f>
        <v>unbekannt</v>
      </c>
      <c r="Z12" s="30" t="str">
        <f>VLOOKUP($M12,Pflanzenkatalog!$A$2:$AB$632,14,FALSE)</f>
        <v>Bohnenkraut, Erdbeeren, Dill, Kopfsalat,
Möhren, Rote Bete</v>
      </c>
      <c r="AA12" s="30">
        <f>VLOOKUP($M12,Pflanzenkatalog!$A$2:$AB$632,15,FALSE)</f>
        <v>0</v>
      </c>
      <c r="AB12" s="30" t="str">
        <f>VLOOKUP($M12,Pflanzenkatalog!$A$2:$AB$632,16,FALSE)</f>
        <v>Bohnen, Erbsen, Kohl</v>
      </c>
      <c r="AC12" s="30" t="str">
        <f>VLOOKUP($M12,Pflanzenkatalog!$A$2:$AB$632,17,FALSE)</f>
        <v>sonnig</v>
      </c>
      <c r="AD12" s="30" t="str">
        <f>VLOOKUP($M12,Pflanzenkatalog!$A$2:$AB$632,18,FALSE)</f>
        <v>Jungzwiebel</v>
      </c>
      <c r="AE12" s="30">
        <f>VLOOKUP($M12,Pflanzenkatalog!$A$2:$AB$632,19,FALSE)</f>
        <v>0</v>
      </c>
      <c r="AF12" s="30" t="str">
        <f>VLOOKUP($M12,Pflanzenkatalog!$A$2:$AB$632,20,FALSE)</f>
        <v>Zwiebel</v>
      </c>
    </row>
    <row r="13" spans="1:32" x14ac:dyDescent="0.2">
      <c r="A13" s="4" t="s">
        <v>181</v>
      </c>
      <c r="B13" s="30" t="s">
        <v>4</v>
      </c>
      <c r="C13" s="30" t="s">
        <v>194</v>
      </c>
      <c r="D13" s="30" t="s">
        <v>195</v>
      </c>
      <c r="E13" s="30" t="s">
        <v>139</v>
      </c>
      <c r="F13" s="30">
        <v>1</v>
      </c>
      <c r="G13" s="30" t="s">
        <v>27</v>
      </c>
      <c r="H13" s="30" t="s">
        <v>144</v>
      </c>
      <c r="I13" s="30" t="s">
        <v>152</v>
      </c>
      <c r="J13" s="30" t="s">
        <v>28</v>
      </c>
      <c r="K13" s="30" t="s">
        <v>146</v>
      </c>
      <c r="L13" s="31">
        <v>2</v>
      </c>
      <c r="M13" s="28">
        <v>42</v>
      </c>
      <c r="N13" s="4" t="str">
        <f>VLOOKUP($M13,Pflanzenkatalog!$A$2:$AB$632,2,FALSE)</f>
        <v>Schnittlauch</v>
      </c>
      <c r="O13" s="30" t="str">
        <f>VLOOKUP($M13,Pflanzenkatalog!$A$2:$AB$632,3,FALSE)</f>
        <v>01.02-31.03.</v>
      </c>
      <c r="P13" s="30" t="str">
        <f>VLOOKUP($M13,Pflanzenkatalog!$A$2:$AB$632,4,FALSE)</f>
        <v>18-20</v>
      </c>
      <c r="Q13" s="30" t="str">
        <f>VLOOKUP($M13,Pflanzenkatalog!$A$2:$AB$632,5,FALSE)</f>
        <v>14-25</v>
      </c>
      <c r="R13" s="30" t="str">
        <f>VLOOKUP($M13,Pflanzenkatalog!$A$2:$AB$632,6,FALSE)</f>
        <v>0,5-1</v>
      </c>
      <c r="S13" s="30" t="str">
        <f>VLOOKUP($M13,Pflanzenkatalog!$A$2:$AB$632,7,FALSE)</f>
        <v>01.04.</v>
      </c>
      <c r="T13" s="30" t="str">
        <f>VLOOKUP($M13,Pflanzenkatalog!$A$2:$AB$632,8,FALSE)</f>
        <v>01.03.-30.04.</v>
      </c>
      <c r="U13" s="30">
        <f>VLOOKUP($M13,Pflanzenkatalog!$A$2:$AB$632,9,FALSE)</f>
        <v>0</v>
      </c>
      <c r="V13" s="30" t="str">
        <f>VLOOKUP($M13,Pflanzenkatalog!$A$2:$AB$632,10,FALSE)</f>
        <v>Streu</v>
      </c>
      <c r="W13" s="30" t="str">
        <f>VLOOKUP($M13,Pflanzenkatalog!$A$2:$AB$632,11,FALSE)</f>
        <v>ganzjährig</v>
      </c>
      <c r="X13" s="30" t="str">
        <f>VLOOKUP($M13,Pflanzenkatalog!$A$2:$AB$632,12,FALSE)</f>
        <v>20-50 cm</v>
      </c>
      <c r="Y13" s="30" t="str">
        <f>VLOOKUP($M13,Pflanzenkatalog!$A$2:$AB$632,13,FALSE)</f>
        <v>unbekannt</v>
      </c>
      <c r="Z13" s="30" t="str">
        <f>VLOOKUP($M13,Pflanzenkatalog!$A$2:$AB$632,14,FALSE)</f>
        <v xml:space="preserve"> Sein Duft vertreibt unter anderem die Möhrenfliege. Schon wenige Horste in der Nachbarschaft reduzieren bei Erdbeeren die Anfälligkeit für Grauschimmel und bei Gurken die Infektionsgefahr mit Falschem Mehltau.</v>
      </c>
      <c r="AA13" s="30">
        <f>VLOOKUP($M13,Pflanzenkatalog!$A$2:$AB$632,15,FALSE)</f>
        <v>0</v>
      </c>
      <c r="AB13" s="30" t="str">
        <f>VLOOKUP($M13,Pflanzenkatalog!$A$2:$AB$632,16,FALSE)</f>
        <v>Auf dem Beet darf Schnittlauch nicht nach sich selbst und anderen Allium-Arten angebaut werden, zudem verträgt er sich nicht gut mit Kohlgewächsen.</v>
      </c>
      <c r="AC13" s="30" t="str">
        <f>VLOOKUP($M13,Pflanzenkatalog!$A$2:$AB$632,17,FALSE)</f>
        <v>Günstig ist ein sonniger bis halbschattiger Platz. Eine Abdeckung mit Vlies beschleunigt bei früher Aussaat das Auflaufen.</v>
      </c>
      <c r="AD13" s="30" t="str">
        <f>VLOOKUP($M13,Pflanzenkatalog!$A$2:$AB$632,18,FALSE)</f>
        <v xml:space="preserve">Eine Direktsaat ist nur auf unkrautfreien Böden empfehlenswert, da die Samen sehr langsam keimen. Bei der Aussaat im Beet wartet man ab, bis der Boden eine Temperatur von fünf Grad Celsius erreicht hat. Wenn Sie die Samen mit grobem Sand mischen, lassen sie sich gleichmäßiger ausstreuen. </v>
      </c>
      <c r="AE13" s="30">
        <f>VLOOKUP($M13,Pflanzenkatalog!$A$2:$AB$632,19,FALSE)</f>
        <v>0</v>
      </c>
      <c r="AF13" s="30" t="str">
        <f>VLOOKUP($M13,Pflanzenkatalog!$A$2:$AB$632,20,FALSE)</f>
        <v>Kräuter</v>
      </c>
    </row>
    <row r="14" spans="1:32" x14ac:dyDescent="0.2">
      <c r="A14" s="4" t="s">
        <v>188</v>
      </c>
      <c r="B14" s="30" t="s">
        <v>4</v>
      </c>
      <c r="C14" s="30" t="s">
        <v>194</v>
      </c>
      <c r="D14" s="30" t="s">
        <v>195</v>
      </c>
      <c r="E14" s="30" t="s">
        <v>139</v>
      </c>
      <c r="F14" s="30">
        <v>2</v>
      </c>
      <c r="G14" s="30" t="s">
        <v>16</v>
      </c>
      <c r="H14" s="30" t="s">
        <v>19</v>
      </c>
      <c r="I14" s="30" t="s">
        <v>428</v>
      </c>
      <c r="J14" s="30" t="s">
        <v>43</v>
      </c>
      <c r="K14" s="30" t="s">
        <v>146</v>
      </c>
      <c r="L14" s="31">
        <v>1</v>
      </c>
      <c r="M14" s="28">
        <v>16</v>
      </c>
      <c r="N14" s="4" t="str">
        <f>VLOOKUP($M14,Pflanzenkatalog!$A$2:$AB$632,2,FALSE)</f>
        <v>Zuckermelone</v>
      </c>
      <c r="O14" s="30" t="str">
        <f>VLOOKUP($M14,Pflanzenkatalog!$A$2:$AB$632,3,FALSE)</f>
        <v>01.04.</v>
      </c>
      <c r="P14" s="30" t="str">
        <f>VLOOKUP($M14,Pflanzenkatalog!$A$2:$AB$632,4,FALSE)</f>
        <v>24</v>
      </c>
      <c r="Q14" s="30" t="str">
        <f>VLOOKUP($M14,Pflanzenkatalog!$A$2:$AB$632,5,FALSE)</f>
        <v>7-14</v>
      </c>
      <c r="R14" s="30">
        <f>VLOOKUP($M14,Pflanzenkatalog!$A$2:$AB$632,6,FALSE)</f>
        <v>0</v>
      </c>
      <c r="S14" s="30" t="str">
        <f>VLOOKUP($M14,Pflanzenkatalog!$A$2:$AB$632,7,FALSE)</f>
        <v>01.05.</v>
      </c>
      <c r="T14" s="30" t="str">
        <f>VLOOKUP($M14,Pflanzenkatalog!$A$2:$AB$632,8,FALSE)</f>
        <v>01.05.</v>
      </c>
      <c r="U14" s="30">
        <f>VLOOKUP($M14,Pflanzenkatalog!$A$2:$AB$632,9,FALSE)</f>
        <v>50</v>
      </c>
      <c r="V14" s="30">
        <f>VLOOKUP($M14,Pflanzenkatalog!$A$2:$AB$632,10,FALSE)</f>
        <v>100</v>
      </c>
      <c r="W14" s="30" t="str">
        <f>VLOOKUP($M14,Pflanzenkatalog!$A$2:$AB$632,11,FALSE)</f>
        <v>August</v>
      </c>
      <c r="X14" s="30" t="str">
        <f>VLOOKUP($M14,Pflanzenkatalog!$A$2:$AB$632,12,FALSE)</f>
        <v>Rankend, Aufbinden</v>
      </c>
      <c r="Y14" s="30" t="str">
        <f>VLOOKUP($M14,Pflanzenkatalog!$A$2:$AB$632,13,FALSE)</f>
        <v>own grown</v>
      </c>
      <c r="Z14" s="30">
        <f>VLOOKUP($M14,Pflanzenkatalog!$A$2:$AB$632,14,FALSE)</f>
        <v>0</v>
      </c>
      <c r="AA14" s="30">
        <f>VLOOKUP($M14,Pflanzenkatalog!$A$2:$AB$632,15,FALSE)</f>
        <v>0</v>
      </c>
      <c r="AB14" s="30">
        <f>VLOOKUP($M14,Pflanzenkatalog!$A$2:$AB$632,16,FALSE)</f>
        <v>0</v>
      </c>
      <c r="AC14" s="30" t="str">
        <f>VLOOKUP($M14,Pflanzenkatalog!$A$2:$AB$632,17,FALSE)</f>
        <v>Haupttrieb nach dem 4. oder 5. Blatt schneiden, Seitentriebe, nach dem 3.-5. Blatt schneiden. Die daraus entstehenden Seitentriebe bilden die weiblichen, fruchtenden Blüten. Behang pro Pflanze auf 4–6 Stück begrenzen. Im Glashaus manuell befruchten.  Kalk, Frost, Windempfindlich</v>
      </c>
      <c r="AD14" s="30" t="str">
        <f>VLOOKUP($M14,Pflanzenkatalog!$A$2:$AB$632,18,FALSE)</f>
        <v xml:space="preserve">Die Charentais liebt sonnige, geschützte Standorte mit warmen, humusreichen Böden. Saftige Melonen aus Ihrem Garten
Die Zuckermelone bildet süße, faustgroße Früchte mit hellgrüner, genetzter Schale. Die Erntezeit beginnt im August. 
</v>
      </c>
      <c r="AE14" s="30">
        <f>VLOOKUP($M14,Pflanzenkatalog!$A$2:$AB$632,19,FALSE)</f>
        <v>0</v>
      </c>
      <c r="AF14" s="30" t="str">
        <f>VLOOKUP($M14,Pflanzenkatalog!$A$2:$AB$632,20,FALSE)</f>
        <v>Frucht</v>
      </c>
    </row>
    <row r="15" spans="1:32" x14ac:dyDescent="0.2">
      <c r="A15" s="4" t="s">
        <v>188</v>
      </c>
      <c r="B15" s="30" t="s">
        <v>4</v>
      </c>
      <c r="C15" s="30" t="s">
        <v>194</v>
      </c>
      <c r="D15" s="30" t="s">
        <v>195</v>
      </c>
      <c r="E15" s="30" t="s">
        <v>139</v>
      </c>
      <c r="F15" s="30">
        <v>2</v>
      </c>
      <c r="G15" s="30" t="s">
        <v>16</v>
      </c>
      <c r="H15" s="30" t="s">
        <v>19</v>
      </c>
      <c r="I15" s="30" t="s">
        <v>428</v>
      </c>
      <c r="J15" s="30" t="s">
        <v>43</v>
      </c>
      <c r="K15" s="30" t="s">
        <v>146</v>
      </c>
      <c r="L15" s="31">
        <v>1</v>
      </c>
      <c r="M15" s="28">
        <v>16</v>
      </c>
      <c r="N15" s="4" t="str">
        <f>VLOOKUP($M15,Pflanzenkatalog!$A$2:$AB$632,2,FALSE)</f>
        <v>Zuckermelone</v>
      </c>
      <c r="O15" s="30" t="str">
        <f>VLOOKUP($M15,Pflanzenkatalog!$A$2:$AB$632,3,FALSE)</f>
        <v>01.04.</v>
      </c>
      <c r="P15" s="30" t="str">
        <f>VLOOKUP($M15,Pflanzenkatalog!$A$2:$AB$632,4,FALSE)</f>
        <v>24</v>
      </c>
      <c r="Q15" s="30" t="str">
        <f>VLOOKUP($M15,Pflanzenkatalog!$A$2:$AB$632,5,FALSE)</f>
        <v>7-14</v>
      </c>
      <c r="R15" s="30">
        <f>VLOOKUP($M15,Pflanzenkatalog!$A$2:$AB$632,6,FALSE)</f>
        <v>0</v>
      </c>
      <c r="S15" s="30" t="str">
        <f>VLOOKUP($M15,Pflanzenkatalog!$A$2:$AB$632,7,FALSE)</f>
        <v>01.05.</v>
      </c>
      <c r="T15" s="30" t="str">
        <f>VLOOKUP($M15,Pflanzenkatalog!$A$2:$AB$632,8,FALSE)</f>
        <v>01.05.</v>
      </c>
      <c r="U15" s="30">
        <f>VLOOKUP($M15,Pflanzenkatalog!$A$2:$AB$632,9,FALSE)</f>
        <v>50</v>
      </c>
      <c r="V15" s="30">
        <f>VLOOKUP($M15,Pflanzenkatalog!$A$2:$AB$632,10,FALSE)</f>
        <v>100</v>
      </c>
      <c r="W15" s="30" t="str">
        <f>VLOOKUP($M15,Pflanzenkatalog!$A$2:$AB$632,11,FALSE)</f>
        <v>August</v>
      </c>
      <c r="X15" s="30" t="str">
        <f>VLOOKUP($M15,Pflanzenkatalog!$A$2:$AB$632,12,FALSE)</f>
        <v>Rankend, Aufbinden</v>
      </c>
      <c r="Y15" s="30" t="str">
        <f>VLOOKUP($M15,Pflanzenkatalog!$A$2:$AB$632,13,FALSE)</f>
        <v>own grown</v>
      </c>
      <c r="Z15" s="30">
        <f>VLOOKUP($M15,Pflanzenkatalog!$A$2:$AB$632,14,FALSE)</f>
        <v>0</v>
      </c>
      <c r="AA15" s="30">
        <f>VLOOKUP($M15,Pflanzenkatalog!$A$2:$AB$632,15,FALSE)</f>
        <v>0</v>
      </c>
      <c r="AB15" s="30">
        <f>VLOOKUP($M15,Pflanzenkatalog!$A$2:$AB$632,16,FALSE)</f>
        <v>0</v>
      </c>
      <c r="AC15" s="30" t="str">
        <f>VLOOKUP($M15,Pflanzenkatalog!$A$2:$AB$632,17,FALSE)</f>
        <v>Haupttrieb nach dem 4. oder 5. Blatt schneiden, Seitentriebe, nach dem 3.-5. Blatt schneiden. Die daraus entstehenden Seitentriebe bilden die weiblichen, fruchtenden Blüten. Behang pro Pflanze auf 4–6 Stück begrenzen. Im Glashaus manuell befruchten.  Kalk, Frost, Windempfindlich</v>
      </c>
      <c r="AD15" s="30" t="str">
        <f>VLOOKUP($M15,Pflanzenkatalog!$A$2:$AB$632,18,FALSE)</f>
        <v xml:space="preserve">Die Charentais liebt sonnige, geschützte Standorte mit warmen, humusreichen Böden. Saftige Melonen aus Ihrem Garten
Die Zuckermelone bildet süße, faustgroße Früchte mit hellgrüner, genetzter Schale. Die Erntezeit beginnt im August. 
</v>
      </c>
      <c r="AE15" s="30">
        <f>VLOOKUP($M15,Pflanzenkatalog!$A$2:$AB$632,19,FALSE)</f>
        <v>0</v>
      </c>
      <c r="AF15" s="30" t="str">
        <f>VLOOKUP($M15,Pflanzenkatalog!$A$2:$AB$632,20,FALSE)</f>
        <v>Frucht</v>
      </c>
    </row>
    <row r="16" spans="1:32" x14ac:dyDescent="0.2">
      <c r="A16" s="4" t="s">
        <v>189</v>
      </c>
      <c r="B16" s="30" t="s">
        <v>4</v>
      </c>
      <c r="C16" s="30" t="s">
        <v>194</v>
      </c>
      <c r="D16" s="30" t="s">
        <v>195</v>
      </c>
      <c r="E16" s="30" t="s">
        <v>139</v>
      </c>
      <c r="F16" s="30">
        <v>2</v>
      </c>
      <c r="G16" s="30" t="s">
        <v>16</v>
      </c>
      <c r="H16" s="30" t="s">
        <v>20</v>
      </c>
      <c r="I16" s="30" t="s">
        <v>525</v>
      </c>
      <c r="J16" s="30" t="s">
        <v>3</v>
      </c>
      <c r="K16" s="30" t="s">
        <v>146</v>
      </c>
      <c r="M16" s="28" t="s">
        <v>266</v>
      </c>
      <c r="N16" s="4" t="str">
        <f>VLOOKUP($M16,Pflanzenkatalog!$A$2:$AB$632,2,FALSE)</f>
        <v>Baby div.</v>
      </c>
      <c r="O16" s="30">
        <f>VLOOKUP($M16,Pflanzenkatalog!$A$2:$AB$632,3,FALSE)</f>
        <v>0</v>
      </c>
      <c r="P16" s="30">
        <f>VLOOKUP($M16,Pflanzenkatalog!$A$2:$AB$632,4,FALSE)</f>
        <v>0</v>
      </c>
      <c r="Q16" s="30">
        <f>VLOOKUP($M16,Pflanzenkatalog!$A$2:$AB$632,5,FALSE)</f>
        <v>0</v>
      </c>
      <c r="R16" s="30">
        <f>VLOOKUP($M16,Pflanzenkatalog!$A$2:$AB$632,6,FALSE)</f>
        <v>0</v>
      </c>
      <c r="S16" s="30">
        <f>VLOOKUP($M16,Pflanzenkatalog!$A$2:$AB$632,7,FALSE)</f>
        <v>0</v>
      </c>
      <c r="T16" s="30">
        <f>VLOOKUP($M16,Pflanzenkatalog!$A$2:$AB$632,8,FALSE)</f>
        <v>0</v>
      </c>
      <c r="U16" s="30">
        <f>VLOOKUP($M16,Pflanzenkatalog!$A$2:$AB$632,9,FALSE)</f>
        <v>0</v>
      </c>
      <c r="V16" s="30">
        <f>VLOOKUP($M16,Pflanzenkatalog!$A$2:$AB$632,10,FALSE)</f>
        <v>0</v>
      </c>
      <c r="W16" s="30">
        <f>VLOOKUP($M16,Pflanzenkatalog!$A$2:$AB$632,11,FALSE)</f>
        <v>0</v>
      </c>
      <c r="X16" s="30">
        <f>VLOOKUP($M16,Pflanzenkatalog!$A$2:$AB$632,12,FALSE)</f>
        <v>0</v>
      </c>
      <c r="Y16" s="30">
        <f>VLOOKUP($M16,Pflanzenkatalog!$A$2:$AB$632,13,FALSE)</f>
        <v>0</v>
      </c>
      <c r="Z16" s="30">
        <f>VLOOKUP($M16,Pflanzenkatalog!$A$2:$AB$632,14,FALSE)</f>
        <v>0</v>
      </c>
      <c r="AA16" s="30">
        <f>VLOOKUP($M16,Pflanzenkatalog!$A$2:$AB$632,15,FALSE)</f>
        <v>0</v>
      </c>
      <c r="AB16" s="30">
        <f>VLOOKUP($M16,Pflanzenkatalog!$A$2:$AB$632,16,FALSE)</f>
        <v>0</v>
      </c>
      <c r="AC16" s="30">
        <f>VLOOKUP($M16,Pflanzenkatalog!$A$2:$AB$632,17,FALSE)</f>
        <v>0</v>
      </c>
      <c r="AD16" s="30">
        <f>VLOOKUP($M16,Pflanzenkatalog!$A$2:$AB$632,18,FALSE)</f>
        <v>0</v>
      </c>
      <c r="AE16" s="30">
        <f>VLOOKUP($M16,Pflanzenkatalog!$A$2:$AB$632,19,FALSE)</f>
        <v>0</v>
      </c>
      <c r="AF16" s="30">
        <f>VLOOKUP($M16,Pflanzenkatalog!$A$2:$AB$632,20,FALSE)</f>
        <v>0</v>
      </c>
    </row>
    <row r="17" spans="1:32" x14ac:dyDescent="0.2">
      <c r="A17" s="4" t="s">
        <v>190</v>
      </c>
      <c r="B17" s="30" t="s">
        <v>4</v>
      </c>
      <c r="C17" s="30" t="s">
        <v>194</v>
      </c>
      <c r="D17" s="30" t="s">
        <v>195</v>
      </c>
      <c r="E17" s="30" t="s">
        <v>139</v>
      </c>
      <c r="F17" s="30">
        <v>2</v>
      </c>
      <c r="G17" s="30" t="s">
        <v>16</v>
      </c>
      <c r="H17" s="30" t="s">
        <v>144</v>
      </c>
      <c r="I17" s="30" t="s">
        <v>525</v>
      </c>
      <c r="J17" s="30" t="s">
        <v>3</v>
      </c>
      <c r="K17" s="30" t="s">
        <v>146</v>
      </c>
      <c r="M17" s="28" t="s">
        <v>266</v>
      </c>
      <c r="N17" s="4" t="str">
        <f>VLOOKUP($M17,Pflanzenkatalog!$A$2:$AB$632,2,FALSE)</f>
        <v>Baby div.</v>
      </c>
      <c r="O17" s="30">
        <f>VLOOKUP($M17,Pflanzenkatalog!$A$2:$AB$632,3,FALSE)</f>
        <v>0</v>
      </c>
      <c r="P17" s="30">
        <f>VLOOKUP($M17,Pflanzenkatalog!$A$2:$AB$632,4,FALSE)</f>
        <v>0</v>
      </c>
      <c r="Q17" s="30">
        <f>VLOOKUP($M17,Pflanzenkatalog!$A$2:$AB$632,5,FALSE)</f>
        <v>0</v>
      </c>
      <c r="R17" s="30">
        <f>VLOOKUP($M17,Pflanzenkatalog!$A$2:$AB$632,6,FALSE)</f>
        <v>0</v>
      </c>
      <c r="S17" s="30">
        <f>VLOOKUP($M17,Pflanzenkatalog!$A$2:$AB$632,7,FALSE)</f>
        <v>0</v>
      </c>
      <c r="T17" s="30">
        <f>VLOOKUP($M17,Pflanzenkatalog!$A$2:$AB$632,8,FALSE)</f>
        <v>0</v>
      </c>
      <c r="U17" s="30">
        <f>VLOOKUP($M17,Pflanzenkatalog!$A$2:$AB$632,9,FALSE)</f>
        <v>0</v>
      </c>
      <c r="V17" s="30">
        <f>VLOOKUP($M17,Pflanzenkatalog!$A$2:$AB$632,10,FALSE)</f>
        <v>0</v>
      </c>
      <c r="W17" s="30">
        <f>VLOOKUP($M17,Pflanzenkatalog!$A$2:$AB$632,11,FALSE)</f>
        <v>0</v>
      </c>
      <c r="X17" s="30">
        <f>VLOOKUP($M17,Pflanzenkatalog!$A$2:$AB$632,12,FALSE)</f>
        <v>0</v>
      </c>
      <c r="Y17" s="30">
        <f>VLOOKUP($M17,Pflanzenkatalog!$A$2:$AB$632,13,FALSE)</f>
        <v>0</v>
      </c>
      <c r="Z17" s="30">
        <f>VLOOKUP($M17,Pflanzenkatalog!$A$2:$AB$632,14,FALSE)</f>
        <v>0</v>
      </c>
      <c r="AA17" s="30">
        <f>VLOOKUP($M17,Pflanzenkatalog!$A$2:$AB$632,15,FALSE)</f>
        <v>0</v>
      </c>
      <c r="AB17" s="30">
        <f>VLOOKUP($M17,Pflanzenkatalog!$A$2:$AB$632,16,FALSE)</f>
        <v>0</v>
      </c>
      <c r="AC17" s="30">
        <f>VLOOKUP($M17,Pflanzenkatalog!$A$2:$AB$632,17,FALSE)</f>
        <v>0</v>
      </c>
      <c r="AD17" s="30">
        <f>VLOOKUP($M17,Pflanzenkatalog!$A$2:$AB$632,18,FALSE)</f>
        <v>0</v>
      </c>
      <c r="AE17" s="30">
        <f>VLOOKUP($M17,Pflanzenkatalog!$A$2:$AB$632,19,FALSE)</f>
        <v>0</v>
      </c>
      <c r="AF17" s="30">
        <f>VLOOKUP($M17,Pflanzenkatalog!$A$2:$AB$632,20,FALSE)</f>
        <v>0</v>
      </c>
    </row>
    <row r="18" spans="1:32" x14ac:dyDescent="0.2">
      <c r="A18" s="4" t="s">
        <v>185</v>
      </c>
      <c r="B18" s="30" t="s">
        <v>4</v>
      </c>
      <c r="C18" s="30" t="s">
        <v>194</v>
      </c>
      <c r="D18" s="30" t="s">
        <v>195</v>
      </c>
      <c r="E18" s="30" t="s">
        <v>139</v>
      </c>
      <c r="F18" s="30">
        <v>2</v>
      </c>
      <c r="G18" s="30" t="s">
        <v>27</v>
      </c>
      <c r="H18" s="30" t="s">
        <v>19</v>
      </c>
      <c r="I18" s="30" t="s">
        <v>151</v>
      </c>
      <c r="J18" s="30" t="s">
        <v>43</v>
      </c>
      <c r="K18" s="30" t="s">
        <v>146</v>
      </c>
      <c r="L18" s="31">
        <v>1</v>
      </c>
      <c r="M18" s="28">
        <v>2</v>
      </c>
      <c r="N18" s="4" t="str">
        <f>VLOOKUP($M18,Pflanzenkatalog!$A$2:$AB$632,2,FALSE)</f>
        <v>Salatparadeiser Quedlinburger Frühe Liebe</v>
      </c>
      <c r="O18" s="30" t="str">
        <f>VLOOKUP($M18,Pflanzenkatalog!$A$2:$AB$632,3,FALSE)</f>
        <v>15.03-15.04</v>
      </c>
      <c r="P18" s="30" t="str">
        <f>VLOOKUP($M18,Pflanzenkatalog!$A$2:$AB$632,4,FALSE)</f>
        <v>20-25</v>
      </c>
      <c r="Q18" s="30" t="str">
        <f>VLOOKUP($M18,Pflanzenkatalog!$A$2:$AB$632,5,FALSE)</f>
        <v>8-10</v>
      </c>
      <c r="R18" s="30" t="str">
        <f>VLOOKUP($M18,Pflanzenkatalog!$A$2:$AB$632,6,FALSE)</f>
        <v>Licht</v>
      </c>
      <c r="S18" s="30" t="str">
        <f>VLOOKUP($M18,Pflanzenkatalog!$A$2:$AB$632,7,FALSE)</f>
        <v>15.05-31.05.</v>
      </c>
      <c r="T18" s="30" t="str">
        <f>VLOOKUP($M18,Pflanzenkatalog!$A$2:$AB$632,8,FALSE)</f>
        <v>nein</v>
      </c>
      <c r="U18" s="30">
        <f>VLOOKUP($M18,Pflanzenkatalog!$A$2:$AB$632,9,FALSE)</f>
        <v>50</v>
      </c>
      <c r="V18" s="30">
        <f>VLOOKUP($M18,Pflanzenkatalog!$A$2:$AB$632,10,FALSE)</f>
        <v>80</v>
      </c>
      <c r="W18" s="30" t="str">
        <f>VLOOKUP($M18,Pflanzenkatalog!$A$2:$AB$632,11,FALSE)</f>
        <v>Juli</v>
      </c>
      <c r="X18" s="30" t="str">
        <f>VLOOKUP($M18,Pflanzenkatalog!$A$2:$AB$632,12,FALSE)</f>
        <v>Stabtomate wächst bis 1,2 m hoch und hat kartoffelblättriges lockeres Laub</v>
      </c>
      <c r="Y18" s="30" t="str">
        <f>VLOOKUP($M18,Pflanzenkatalog!$A$2:$AB$632,13,FALSE)</f>
        <v>Arche Noah</v>
      </c>
      <c r="Z18" s="30" t="str">
        <f>VLOOKUP($M18,Pflanzenkatalog!$A$2:$AB$632,14,FALSE)</f>
        <v xml:space="preserve">	Buschbohne, Knoblauch, Kohl, Kohlrabi</v>
      </c>
      <c r="AA18" s="30" t="str">
        <f>VLOOKUP($M18,Pflanzenkatalog!$A$2:$AB$632,15,FALSE)</f>
        <v>Basilikum, gegen Mehltau und weiße Fliege
Tagetes, gegen Nematoden, Viren und weiße Fliege</v>
      </c>
      <c r="AB18" s="30" t="str">
        <f>VLOOKUP($M18,Pflanzenkatalog!$A$2:$AB$632,16,FALSE)</f>
        <v>Erbse, Fenchel, Kartoffeln</v>
      </c>
      <c r="AC18" s="30" t="str">
        <f>VLOOKUP($M18,Pflanzenkatalog!$A$2:$AB$632,17,FALSE)</f>
        <v>nicht ausgeizen, Mulchen, warm, Schutz vor Regen, mäßig von unten gießen</v>
      </c>
      <c r="AD18" s="30" t="str">
        <f>VLOOKUP($M18,Pflanzenkatalog!$A$2:$AB$632,18,FALSE)</f>
        <v>Im Salat kommt der süß-aromatische Geschmack hervorragend zur Geltung. Extrem frühreifend ist die Sorte auch für rauhere Lagen empfehlenswert.
Die roten, runden, ca. 4 cm großen Früchte kann man die ganze Saison über ernten.</v>
      </c>
      <c r="AE18" s="30">
        <f>VLOOKUP($M18,Pflanzenkatalog!$A$2:$AB$632,19,FALSE)</f>
        <v>0</v>
      </c>
      <c r="AF18" s="30" t="str">
        <f>VLOOKUP($M18,Pflanzenkatalog!$A$2:$AB$632,20,FALSE)</f>
        <v>Frucht</v>
      </c>
    </row>
    <row r="19" spans="1:32" x14ac:dyDescent="0.2">
      <c r="A19" s="4" t="s">
        <v>185</v>
      </c>
      <c r="B19" s="30" t="s">
        <v>4</v>
      </c>
      <c r="C19" s="30" t="s">
        <v>194</v>
      </c>
      <c r="D19" s="30" t="s">
        <v>195</v>
      </c>
      <c r="E19" s="30" t="s">
        <v>139</v>
      </c>
      <c r="F19" s="30">
        <v>2</v>
      </c>
      <c r="G19" s="30" t="s">
        <v>27</v>
      </c>
      <c r="H19" s="30" t="s">
        <v>19</v>
      </c>
      <c r="I19" s="30" t="s">
        <v>151</v>
      </c>
      <c r="J19" s="30" t="s">
        <v>43</v>
      </c>
      <c r="K19" s="30" t="s">
        <v>146</v>
      </c>
      <c r="L19" s="31">
        <v>1</v>
      </c>
      <c r="M19" s="28">
        <v>49</v>
      </c>
      <c r="N19" s="4" t="str">
        <f>VLOOKUP($M19,Pflanzenkatalog!$A$2:$AB$632,2,FALSE)</f>
        <v>Paradeiser Ochsenherz Tschernij Prinz</v>
      </c>
      <c r="O19" s="30" t="str">
        <f>VLOOKUP($M19,Pflanzenkatalog!$A$2:$AB$632,3,FALSE)</f>
        <v>01.02-31.03.</v>
      </c>
      <c r="P19" s="30" t="str">
        <f>VLOOKUP($M19,Pflanzenkatalog!$A$2:$AB$632,4,FALSE)</f>
        <v>20-25</v>
      </c>
      <c r="Q19" s="30" t="str">
        <f>VLOOKUP($M19,Pflanzenkatalog!$A$2:$AB$632,5,FALSE)</f>
        <v>8-10</v>
      </c>
      <c r="R19" s="30" t="str">
        <f>VLOOKUP($M19,Pflanzenkatalog!$A$2:$AB$632,6,FALSE)</f>
        <v>0,5-1</v>
      </c>
      <c r="S19" s="30" t="str">
        <f>VLOOKUP($M19,Pflanzenkatalog!$A$2:$AB$632,7,FALSE)</f>
        <v>15.04.-15.05.</v>
      </c>
      <c r="T19" s="30" t="str">
        <f>VLOOKUP($M19,Pflanzenkatalog!$A$2:$AB$632,8,FALSE)</f>
        <v>15.05-31.05.</v>
      </c>
      <c r="U19" s="30">
        <f>VLOOKUP($M19,Pflanzenkatalog!$A$2:$AB$632,9,FALSE)</f>
        <v>50</v>
      </c>
      <c r="V19" s="30">
        <f>VLOOKUP($M19,Pflanzenkatalog!$A$2:$AB$632,10,FALSE)</f>
        <v>60</v>
      </c>
      <c r="W19" s="30" t="str">
        <f>VLOOKUP($M19,Pflanzenkatalog!$A$2:$AB$632,11,FALSE)</f>
        <v>Juli</v>
      </c>
      <c r="X19" s="30" t="str">
        <f>VLOOKUP($M19,Pflanzenkatalog!$A$2:$AB$632,12,FALSE)</f>
        <v>Stabtomate</v>
      </c>
      <c r="Y19" s="30" t="str">
        <f>VLOOKUP($M19,Pflanzenkatalog!$A$2:$AB$632,13,FALSE)</f>
        <v>REINSAAT</v>
      </c>
      <c r="Z19" s="30" t="str">
        <f>VLOOKUP($M19,Pflanzenkatalog!$A$2:$AB$632,14,FALSE)</f>
        <v xml:space="preserve">	Buschbohne, Knoblauch, Kohl, Kohlrabi</v>
      </c>
      <c r="AA19" s="30" t="str">
        <f>VLOOKUP($M19,Pflanzenkatalog!$A$2:$AB$632,15,FALSE)</f>
        <v>Basilikum, gegen Mehltau und weiße Fliege
Tagetes, gegen Nematoden, Viren und weiße Fliege</v>
      </c>
      <c r="AB19" s="30" t="str">
        <f>VLOOKUP($M19,Pflanzenkatalog!$A$2:$AB$632,16,FALSE)</f>
        <v>Erbse, Fenchel, Kartoffeln</v>
      </c>
      <c r="AC19" s="30">
        <f>VLOOKUP($M19,Pflanzenkatalog!$A$2:$AB$632,17,FALSE)</f>
        <v>0</v>
      </c>
      <c r="AD19" s="30" t="str">
        <f>VLOOKUP($M19,Pflanzenkatalog!$A$2:$AB$632,18,FALSE)</f>
        <v>Halbdeterminante Fleischtomate aus der EHZ von ReinSaat. Die braunroten, flachrunden Früchte sind von herausragend gutem Geschmack. Mehrkammerige, fleischige und sehr saftige Früchte mit einem Fruchtgewicht von ca. 200 – 300 g. Früh einsetzende Ernte. Sehr beliebte Hausgärtnersorte.</v>
      </c>
      <c r="AE19" s="30">
        <f>VLOOKUP($M19,Pflanzenkatalog!$A$2:$AB$632,19,FALSE)</f>
        <v>0</v>
      </c>
      <c r="AF19" s="30" t="str">
        <f>VLOOKUP($M19,Pflanzenkatalog!$A$2:$AB$632,20,FALSE)</f>
        <v>Frucht</v>
      </c>
    </row>
    <row r="20" spans="1:32" x14ac:dyDescent="0.2">
      <c r="A20" s="4" t="s">
        <v>186</v>
      </c>
      <c r="B20" s="30" t="s">
        <v>4</v>
      </c>
      <c r="C20" s="30" t="s">
        <v>194</v>
      </c>
      <c r="D20" s="30" t="s">
        <v>195</v>
      </c>
      <c r="E20" s="30" t="s">
        <v>139</v>
      </c>
      <c r="F20" s="30">
        <v>2</v>
      </c>
      <c r="G20" s="30" t="s">
        <v>27</v>
      </c>
      <c r="H20" s="30" t="s">
        <v>20</v>
      </c>
      <c r="I20" s="30" t="s">
        <v>525</v>
      </c>
      <c r="J20" s="30" t="s">
        <v>28</v>
      </c>
      <c r="K20" s="30" t="s">
        <v>29</v>
      </c>
      <c r="M20" s="28" t="s">
        <v>39</v>
      </c>
      <c r="N20" s="4" t="str">
        <f>VLOOKUP($M20,Pflanzenkatalog!$A$2:$AB$632,2,FALSE)</f>
        <v>Lagerfläche</v>
      </c>
      <c r="O20" s="30">
        <f>VLOOKUP($M20,Pflanzenkatalog!$A$2:$AB$632,3,FALSE)</f>
        <v>0</v>
      </c>
      <c r="P20" s="30">
        <f>VLOOKUP($M20,Pflanzenkatalog!$A$2:$AB$632,4,FALSE)</f>
        <v>0</v>
      </c>
      <c r="Q20" s="30">
        <f>VLOOKUP($M20,Pflanzenkatalog!$A$2:$AB$632,5,FALSE)</f>
        <v>0</v>
      </c>
      <c r="R20" s="30">
        <f>VLOOKUP($M20,Pflanzenkatalog!$A$2:$AB$632,6,FALSE)</f>
        <v>0</v>
      </c>
      <c r="S20" s="30">
        <f>VLOOKUP($M20,Pflanzenkatalog!$A$2:$AB$632,7,FALSE)</f>
        <v>0</v>
      </c>
      <c r="T20" s="30">
        <f>VLOOKUP($M20,Pflanzenkatalog!$A$2:$AB$632,8,FALSE)</f>
        <v>0</v>
      </c>
      <c r="U20" s="30">
        <f>VLOOKUP($M20,Pflanzenkatalog!$A$2:$AB$632,9,FALSE)</f>
        <v>0</v>
      </c>
      <c r="V20" s="30">
        <f>VLOOKUP($M20,Pflanzenkatalog!$A$2:$AB$632,10,FALSE)</f>
        <v>0</v>
      </c>
      <c r="W20" s="30">
        <f>VLOOKUP($M20,Pflanzenkatalog!$A$2:$AB$632,11,FALSE)</f>
        <v>0</v>
      </c>
      <c r="X20" s="30">
        <f>VLOOKUP($M20,Pflanzenkatalog!$A$2:$AB$632,12,FALSE)</f>
        <v>0</v>
      </c>
      <c r="Y20" s="30">
        <f>VLOOKUP($M20,Pflanzenkatalog!$A$2:$AB$632,13,FALSE)</f>
        <v>0</v>
      </c>
      <c r="Z20" s="30">
        <f>VLOOKUP($M20,Pflanzenkatalog!$A$2:$AB$632,14,FALSE)</f>
        <v>0</v>
      </c>
      <c r="AA20" s="30">
        <f>VLOOKUP($M20,Pflanzenkatalog!$A$2:$AB$632,15,FALSE)</f>
        <v>0</v>
      </c>
      <c r="AB20" s="30">
        <f>VLOOKUP($M20,Pflanzenkatalog!$A$2:$AB$632,16,FALSE)</f>
        <v>0</v>
      </c>
      <c r="AC20" s="30">
        <f>VLOOKUP($M20,Pflanzenkatalog!$A$2:$AB$632,17,FALSE)</f>
        <v>0</v>
      </c>
      <c r="AD20" s="30">
        <f>VLOOKUP($M20,Pflanzenkatalog!$A$2:$AB$632,18,FALSE)</f>
        <v>0</v>
      </c>
      <c r="AE20" s="30">
        <f>VLOOKUP($M20,Pflanzenkatalog!$A$2:$AB$632,19,FALSE)</f>
        <v>0</v>
      </c>
      <c r="AF20" s="30">
        <f>VLOOKUP($M20,Pflanzenkatalog!$A$2:$AB$632,20,FALSE)</f>
        <v>0</v>
      </c>
    </row>
    <row r="21" spans="1:32" x14ac:dyDescent="0.2">
      <c r="A21" s="4" t="s">
        <v>187</v>
      </c>
      <c r="B21" s="30" t="s">
        <v>4</v>
      </c>
      <c r="C21" s="30" t="s">
        <v>194</v>
      </c>
      <c r="D21" s="30" t="s">
        <v>195</v>
      </c>
      <c r="E21" s="30" t="s">
        <v>139</v>
      </c>
      <c r="F21" s="30">
        <v>2</v>
      </c>
      <c r="G21" s="30" t="s">
        <v>27</v>
      </c>
      <c r="H21" s="30" t="s">
        <v>144</v>
      </c>
      <c r="I21" s="30" t="s">
        <v>525</v>
      </c>
      <c r="J21" s="30" t="s">
        <v>28</v>
      </c>
      <c r="K21" s="30" t="s">
        <v>29</v>
      </c>
      <c r="M21" s="28" t="s">
        <v>39</v>
      </c>
      <c r="N21" s="4" t="str">
        <f>VLOOKUP($M21,Pflanzenkatalog!$A$2:$AB$632,2,FALSE)</f>
        <v>Lagerfläche</v>
      </c>
      <c r="O21" s="30">
        <f>VLOOKUP($M21,Pflanzenkatalog!$A$2:$AB$632,3,FALSE)</f>
        <v>0</v>
      </c>
      <c r="P21" s="30">
        <f>VLOOKUP($M21,Pflanzenkatalog!$A$2:$AB$632,4,FALSE)</f>
        <v>0</v>
      </c>
      <c r="Q21" s="30">
        <f>VLOOKUP($M21,Pflanzenkatalog!$A$2:$AB$632,5,FALSE)</f>
        <v>0</v>
      </c>
      <c r="R21" s="30">
        <f>VLOOKUP($M21,Pflanzenkatalog!$A$2:$AB$632,6,FALSE)</f>
        <v>0</v>
      </c>
      <c r="S21" s="30">
        <f>VLOOKUP($M21,Pflanzenkatalog!$A$2:$AB$632,7,FALSE)</f>
        <v>0</v>
      </c>
      <c r="T21" s="30">
        <f>VLOOKUP($M21,Pflanzenkatalog!$A$2:$AB$632,8,FALSE)</f>
        <v>0</v>
      </c>
      <c r="U21" s="30">
        <f>VLOOKUP($M21,Pflanzenkatalog!$A$2:$AB$632,9,FALSE)</f>
        <v>0</v>
      </c>
      <c r="V21" s="30">
        <f>VLOOKUP($M21,Pflanzenkatalog!$A$2:$AB$632,10,FALSE)</f>
        <v>0</v>
      </c>
      <c r="W21" s="30">
        <f>VLOOKUP($M21,Pflanzenkatalog!$A$2:$AB$632,11,FALSE)</f>
        <v>0</v>
      </c>
      <c r="X21" s="30">
        <f>VLOOKUP($M21,Pflanzenkatalog!$A$2:$AB$632,12,FALSE)</f>
        <v>0</v>
      </c>
      <c r="Y21" s="30">
        <f>VLOOKUP($M21,Pflanzenkatalog!$A$2:$AB$632,13,FALSE)</f>
        <v>0</v>
      </c>
      <c r="Z21" s="30">
        <f>VLOOKUP($M21,Pflanzenkatalog!$A$2:$AB$632,14,FALSE)</f>
        <v>0</v>
      </c>
      <c r="AA21" s="30">
        <f>VLOOKUP($M21,Pflanzenkatalog!$A$2:$AB$632,15,FALSE)</f>
        <v>0</v>
      </c>
      <c r="AB21" s="30">
        <f>VLOOKUP($M21,Pflanzenkatalog!$A$2:$AB$632,16,FALSE)</f>
        <v>0</v>
      </c>
      <c r="AC21" s="30">
        <f>VLOOKUP($M21,Pflanzenkatalog!$A$2:$AB$632,17,FALSE)</f>
        <v>0</v>
      </c>
      <c r="AD21" s="30">
        <f>VLOOKUP($M21,Pflanzenkatalog!$A$2:$AB$632,18,FALSE)</f>
        <v>0</v>
      </c>
      <c r="AE21" s="30">
        <f>VLOOKUP($M21,Pflanzenkatalog!$A$2:$AB$632,19,FALSE)</f>
        <v>0</v>
      </c>
      <c r="AF21" s="30">
        <f>VLOOKUP($M21,Pflanzenkatalog!$A$2:$AB$632,20,FALSE)</f>
        <v>0</v>
      </c>
    </row>
    <row r="22" spans="1:32" x14ac:dyDescent="0.2">
      <c r="A22" s="4" t="s">
        <v>196</v>
      </c>
      <c r="B22" s="30" t="s">
        <v>4</v>
      </c>
      <c r="C22" s="30" t="s">
        <v>194</v>
      </c>
      <c r="D22" s="30" t="s">
        <v>195</v>
      </c>
      <c r="E22" s="30" t="s">
        <v>139</v>
      </c>
      <c r="F22" s="30">
        <v>3</v>
      </c>
      <c r="G22" s="30" t="s">
        <v>16</v>
      </c>
      <c r="H22" s="30" t="s">
        <v>19</v>
      </c>
      <c r="I22" s="30" t="s">
        <v>152</v>
      </c>
      <c r="J22" s="30" t="s">
        <v>254</v>
      </c>
      <c r="K22" s="30" t="s">
        <v>146</v>
      </c>
      <c r="L22" s="31">
        <v>2</v>
      </c>
      <c r="M22" s="28">
        <v>14</v>
      </c>
      <c r="N22" s="4" t="str">
        <f>VLOOKUP($M22,Pflanzenkatalog!$A$2:$AB$632,2,FALSE)</f>
        <v>Chili Lemon Drop</v>
      </c>
      <c r="O22" s="30" t="str">
        <f>VLOOKUP($M22,Pflanzenkatalog!$A$2:$AB$632,3,FALSE)</f>
        <v>01.03.</v>
      </c>
      <c r="P22" s="30" t="str">
        <f>VLOOKUP($M22,Pflanzenkatalog!$A$2:$AB$632,4,FALSE)</f>
        <v>25-30</v>
      </c>
      <c r="Q22" s="30" t="str">
        <f>VLOOKUP($M22,Pflanzenkatalog!$A$2:$AB$632,5,FALSE)</f>
        <v>10-14</v>
      </c>
      <c r="R22" s="30" t="str">
        <f>VLOOKUP($M22,Pflanzenkatalog!$A$2:$AB$632,6,FALSE)</f>
        <v>1</v>
      </c>
      <c r="S22" s="30" t="str">
        <f>VLOOKUP($M22,Pflanzenkatalog!$A$2:$AB$632,7,FALSE)</f>
        <v>01.05.</v>
      </c>
      <c r="T22" s="30" t="str">
        <f>VLOOKUP($M22,Pflanzenkatalog!$A$2:$AB$632,8,FALSE)</f>
        <v>nein</v>
      </c>
      <c r="U22" s="30">
        <f>VLOOKUP($M22,Pflanzenkatalog!$A$2:$AB$632,9,FALSE)</f>
        <v>40</v>
      </c>
      <c r="V22" s="30">
        <f>VLOOKUP($M22,Pflanzenkatalog!$A$2:$AB$632,10,FALSE)</f>
        <v>40</v>
      </c>
      <c r="W22" s="30" t="str">
        <f>VLOOKUP($M22,Pflanzenkatalog!$A$2:$AB$632,11,FALSE)</f>
        <v>August</v>
      </c>
      <c r="X22" s="30" t="str">
        <f>VLOOKUP($M22,Pflanzenkatalog!$A$2:$AB$632,12,FALSE)</f>
        <v>80 cm, Anstäben</v>
      </c>
      <c r="Y22" s="30" t="str">
        <f>VLOOKUP($M22,Pflanzenkatalog!$A$2:$AB$632,13,FALSE)</f>
        <v>samen greisslerei</v>
      </c>
      <c r="Z22" s="30" t="str">
        <f>VLOOKUP($M22,Pflanzenkatalog!$A$2:$AB$632,14,FALSE)</f>
        <v>Rucola, Radieschen, Pertersilie, Basilikum</v>
      </c>
      <c r="AA22" s="30">
        <f>VLOOKUP($M22,Pflanzenkatalog!$A$2:$AB$632,15,FALSE)</f>
        <v>0</v>
      </c>
      <c r="AB22" s="30">
        <f>VLOOKUP($M22,Pflanzenkatalog!$A$2:$AB$632,16,FALSE)</f>
        <v>0</v>
      </c>
      <c r="AC22" s="30" t="str">
        <f>VLOOKUP($M22,Pflanzenkatalog!$A$2:$AB$632,17,FALSE)</f>
        <v>mehrjährig! Jungpflanzen wachsen langsam, vor Frost schützen, langsam abhärten, feuchtes, lockeres und nährstoffreichen Substrat, Boden im Idealfall einen neutralen bis leicht sauren pH-Wert, mit Kompost düngen</v>
      </c>
      <c r="AD22" s="30" t="str">
        <f>VLOOKUP($M22,Pflanzenkatalog!$A$2:$AB$632,18,FALSE)</f>
        <v>Diese Sorte hat dünnwandige, leuchtend gelbe Schoten, die eine ausgesprochene Schärfe aufweisen (Schärfegrad 7 – 8). Zusätzlich besitzen sie ein typisches Zitronenaroma. Die Pflanze erreicht im Freiland bis 80 cm Wuchshöhe. Sie ist mehrjährig, aber nicht frosthart!
Nutzung: Chilischoten zum Würzen frisch oder getrocknet. Daraus läßt sich ein farblich sehr schönes Chilipulver mahlen.</v>
      </c>
      <c r="AE22" s="30">
        <f>VLOOKUP($M22,Pflanzenkatalog!$A$2:$AB$632,19,FALSE)</f>
        <v>0</v>
      </c>
      <c r="AF22" s="30" t="str">
        <f>VLOOKUP($M22,Pflanzenkatalog!$A$2:$AB$632,20,FALSE)</f>
        <v>Frucht</v>
      </c>
    </row>
    <row r="23" spans="1:32" x14ac:dyDescent="0.2">
      <c r="A23" s="4" t="s">
        <v>196</v>
      </c>
      <c r="B23" s="30" t="s">
        <v>4</v>
      </c>
      <c r="C23" s="30" t="s">
        <v>194</v>
      </c>
      <c r="D23" s="30" t="s">
        <v>195</v>
      </c>
      <c r="E23" s="30" t="s">
        <v>139</v>
      </c>
      <c r="F23" s="30">
        <v>3</v>
      </c>
      <c r="G23" s="30" t="s">
        <v>16</v>
      </c>
      <c r="H23" s="30" t="s">
        <v>19</v>
      </c>
      <c r="I23" s="30" t="s">
        <v>152</v>
      </c>
      <c r="J23" s="30" t="s">
        <v>254</v>
      </c>
      <c r="K23" s="30" t="s">
        <v>146</v>
      </c>
      <c r="L23" s="31">
        <v>2</v>
      </c>
      <c r="M23" s="28">
        <v>51</v>
      </c>
      <c r="N23" s="4" t="str">
        <f>VLOOKUP($M23,Pflanzenkatalog!$A$2:$AB$632,2,FALSE)</f>
        <v>Chili Diavoletto</v>
      </c>
      <c r="O23" s="30" t="str">
        <f>VLOOKUP($M23,Pflanzenkatalog!$A$2:$AB$632,3,FALSE)</f>
        <v>15.02.-15.03.</v>
      </c>
      <c r="P23" s="30" t="str">
        <f>VLOOKUP($M23,Pflanzenkatalog!$A$2:$AB$632,4,FALSE)</f>
        <v>20-25</v>
      </c>
      <c r="Q23" s="30" t="str">
        <f>VLOOKUP($M23,Pflanzenkatalog!$A$2:$AB$632,5,FALSE)</f>
        <v>10-14</v>
      </c>
      <c r="R23" s="30" t="str">
        <f>VLOOKUP($M23,Pflanzenkatalog!$A$2:$AB$632,6,FALSE)</f>
        <v>1</v>
      </c>
      <c r="S23" s="30" t="str">
        <f>VLOOKUP($M23,Pflanzenkatalog!$A$2:$AB$632,7,FALSE)</f>
        <v>15.04.-30.04.</v>
      </c>
      <c r="T23" s="30" t="str">
        <f>VLOOKUP($M23,Pflanzenkatalog!$A$2:$AB$632,8,FALSE)</f>
        <v>nein</v>
      </c>
      <c r="U23" s="30">
        <f>VLOOKUP($M23,Pflanzenkatalog!$A$2:$AB$632,9,FALSE)</f>
        <v>50</v>
      </c>
      <c r="V23" s="30">
        <f>VLOOKUP($M23,Pflanzenkatalog!$A$2:$AB$632,10,FALSE)</f>
        <v>70</v>
      </c>
      <c r="W23" s="30" t="str">
        <f>VLOOKUP($M23,Pflanzenkatalog!$A$2:$AB$632,11,FALSE)</f>
        <v>Juli</v>
      </c>
      <c r="X23" s="30" t="str">
        <f>VLOOKUP($M23,Pflanzenkatalog!$A$2:$AB$632,12,FALSE)</f>
        <v>50-80 cm</v>
      </c>
      <c r="Y23" s="30" t="str">
        <f>VLOOKUP($M23,Pflanzenkatalog!$A$2:$AB$632,13,FALSE)</f>
        <v>REINSAAT</v>
      </c>
      <c r="Z23" s="30" t="str">
        <f>VLOOKUP($M23,Pflanzenkatalog!$A$2:$AB$632,14,FALSE)</f>
        <v>Rucola, Radieschen, Pertersilie, Basilikum</v>
      </c>
      <c r="AA23" s="30">
        <f>VLOOKUP($M23,Pflanzenkatalog!$A$2:$AB$632,15,FALSE)</f>
        <v>0</v>
      </c>
      <c r="AB23" s="30">
        <f>VLOOKUP($M23,Pflanzenkatalog!$A$2:$AB$632,16,FALSE)</f>
        <v>0</v>
      </c>
      <c r="AC23" s="30" t="str">
        <f>VLOOKUP($M23,Pflanzenkatalog!$A$2:$AB$632,17,FALSE)</f>
        <v>mehrjährig! Jungpflanzen wachsen langsam, vor Frost schützen, langsam abhärten, feuchtes, lockeres und nährstoffreichen Substrat, Boden im Idealfall einen neutralen bis leicht sauren pH-Wert, mit Kompost düngen</v>
      </c>
      <c r="AD23" s="30" t="str">
        <f>VLOOKUP($M23,Pflanzenkatalog!$A$2:$AB$632,18,FALSE)</f>
        <v>Züchtung ReinSaat. Dekorativer, langgestreckter, fleischiger Chili mit attraktiven lilafarbenen Blüten, Stielen, Kelchen und Blattadern. Die Früchte reifen von lila auf goldbraun zu orangerot ab. Gut geeignet zum Frischverzehr, in Salsas oder zum Einlegen. Für Gewächshaus und geschützte Freilandlagen. Schärfegrad 6 – 7</v>
      </c>
      <c r="AE23" s="30">
        <f>VLOOKUP($M23,Pflanzenkatalog!$A$2:$AB$632,19,FALSE)</f>
        <v>0</v>
      </c>
      <c r="AF23" s="30" t="str">
        <f>VLOOKUP($M23,Pflanzenkatalog!$A$2:$AB$632,20,FALSE)</f>
        <v>Frucht</v>
      </c>
    </row>
    <row r="24" spans="1:32" x14ac:dyDescent="0.2">
      <c r="A24" s="4" t="s">
        <v>197</v>
      </c>
      <c r="B24" s="30" t="s">
        <v>4</v>
      </c>
      <c r="C24" s="30" t="s">
        <v>194</v>
      </c>
      <c r="D24" s="30" t="s">
        <v>195</v>
      </c>
      <c r="E24" s="30" t="s">
        <v>139</v>
      </c>
      <c r="F24" s="30">
        <v>3</v>
      </c>
      <c r="G24" s="30" t="s">
        <v>16</v>
      </c>
      <c r="H24" s="30" t="s">
        <v>20</v>
      </c>
      <c r="I24" s="30" t="s">
        <v>152</v>
      </c>
      <c r="J24" s="30" t="s">
        <v>28</v>
      </c>
      <c r="K24" s="30" t="s">
        <v>146</v>
      </c>
      <c r="L24" s="31">
        <v>2</v>
      </c>
      <c r="M24" s="28">
        <v>18</v>
      </c>
      <c r="N24" s="4" t="str">
        <f>VLOOKUP($M24,Pflanzenkatalog!$A$2:$AB$632,2,FALSE)</f>
        <v>Paprika spitz rot</v>
      </c>
      <c r="O24" s="30" t="str">
        <f>VLOOKUP($M24,Pflanzenkatalog!$A$2:$AB$632,3,FALSE)</f>
        <v>01.02.-15.04.</v>
      </c>
      <c r="P24" s="30" t="str">
        <f>VLOOKUP($M24,Pflanzenkatalog!$A$2:$AB$632,4,FALSE)</f>
        <v>22-25</v>
      </c>
      <c r="Q24" s="30" t="str">
        <f>VLOOKUP($M24,Pflanzenkatalog!$A$2:$AB$632,5,FALSE)</f>
        <v>10-14</v>
      </c>
      <c r="R24" s="30" t="str">
        <f>VLOOKUP($M24,Pflanzenkatalog!$A$2:$AB$632,6,FALSE)</f>
        <v>0,5-1</v>
      </c>
      <c r="S24" s="30" t="str">
        <f>VLOOKUP($M24,Pflanzenkatalog!$A$2:$AB$632,7,FALSE)</f>
        <v>01.04.-01.06.</v>
      </c>
      <c r="T24" s="30" t="str">
        <f>VLOOKUP($M24,Pflanzenkatalog!$A$2:$AB$632,8,FALSE)</f>
        <v>nein</v>
      </c>
      <c r="U24" s="30">
        <f>VLOOKUP($M24,Pflanzenkatalog!$A$2:$AB$632,9,FALSE)</f>
        <v>60</v>
      </c>
      <c r="V24" s="30">
        <f>VLOOKUP($M24,Pflanzenkatalog!$A$2:$AB$632,10,FALSE)</f>
        <v>80</v>
      </c>
      <c r="W24" s="30" t="str">
        <f>VLOOKUP($M24,Pflanzenkatalog!$A$2:$AB$632,11,FALSE)</f>
        <v>Juli</v>
      </c>
      <c r="X24" s="30" t="str">
        <f>VLOOKUP($M24,Pflanzenkatalog!$A$2:$AB$632,12,FALSE)</f>
        <v>50-80 cm</v>
      </c>
      <c r="Y24" s="30" t="str">
        <f>VLOOKUP($M24,Pflanzenkatalog!$A$2:$AB$632,13,FALSE)</f>
        <v>SPAR Bio</v>
      </c>
      <c r="Z24" s="30">
        <f>VLOOKUP($M24,Pflanzenkatalog!$A$2:$AB$632,14,FALSE)</f>
        <v>0</v>
      </c>
      <c r="AA24" s="30">
        <f>VLOOKUP($M24,Pflanzenkatalog!$A$2:$AB$632,15,FALSE)</f>
        <v>0</v>
      </c>
      <c r="AB24" s="30">
        <f>VLOOKUP($M24,Pflanzenkatalog!$A$2:$AB$632,16,FALSE)</f>
        <v>0</v>
      </c>
      <c r="AC24" s="30">
        <f>VLOOKUP($M24,Pflanzenkatalog!$A$2:$AB$632,17,FALSE)</f>
        <v>0</v>
      </c>
      <c r="AD24" s="30">
        <f>VLOOKUP($M24,Pflanzenkatalog!$A$2:$AB$632,18,FALSE)</f>
        <v>0</v>
      </c>
      <c r="AE24" s="30">
        <f>VLOOKUP($M24,Pflanzenkatalog!$A$2:$AB$632,19,FALSE)</f>
        <v>0</v>
      </c>
      <c r="AF24" s="30" t="str">
        <f>VLOOKUP($M24,Pflanzenkatalog!$A$2:$AB$632,20,FALSE)</f>
        <v>Frucht</v>
      </c>
    </row>
    <row r="25" spans="1:32" x14ac:dyDescent="0.2">
      <c r="A25" s="4" t="s">
        <v>197</v>
      </c>
      <c r="B25" s="30" t="s">
        <v>4</v>
      </c>
      <c r="C25" s="30" t="s">
        <v>194</v>
      </c>
      <c r="D25" s="30" t="s">
        <v>195</v>
      </c>
      <c r="E25" s="30" t="s">
        <v>139</v>
      </c>
      <c r="F25" s="30">
        <v>3</v>
      </c>
      <c r="G25" s="30" t="s">
        <v>16</v>
      </c>
      <c r="H25" s="30" t="s">
        <v>20</v>
      </c>
      <c r="I25" s="30" t="s">
        <v>152</v>
      </c>
      <c r="J25" s="30" t="s">
        <v>28</v>
      </c>
      <c r="K25" s="30" t="s">
        <v>146</v>
      </c>
      <c r="L25" s="31">
        <v>2</v>
      </c>
      <c r="M25" s="28">
        <v>50</v>
      </c>
      <c r="N25" s="4" t="str">
        <f>VLOOKUP($M25,Pflanzenkatalog!$A$2:$AB$632,2,FALSE)</f>
        <v>Paprika Snack Hamik</v>
      </c>
      <c r="O25" s="30" t="str">
        <f>VLOOKUP($M25,Pflanzenkatalog!$A$2:$AB$632,3,FALSE)</f>
        <v>15.01.-31.03.</v>
      </c>
      <c r="P25" s="30" t="str">
        <f>VLOOKUP($M25,Pflanzenkatalog!$A$2:$AB$632,4,FALSE)</f>
        <v>20-25</v>
      </c>
      <c r="Q25" s="30" t="str">
        <f>VLOOKUP($M25,Pflanzenkatalog!$A$2:$AB$632,5,FALSE)</f>
        <v>14-21</v>
      </c>
      <c r="R25" s="30" t="str">
        <f>VLOOKUP($M25,Pflanzenkatalog!$A$2:$AB$632,6,FALSE)</f>
        <v>0,5-1</v>
      </c>
      <c r="S25" s="30" t="str">
        <f>VLOOKUP($M25,Pflanzenkatalog!$A$2:$AB$632,7,FALSE)</f>
        <v>15.04.-30.04.</v>
      </c>
      <c r="T25" s="30" t="str">
        <f>VLOOKUP($M25,Pflanzenkatalog!$A$2:$AB$632,8,FALSE)</f>
        <v>15.05.-15.06.</v>
      </c>
      <c r="U25" s="30">
        <f>VLOOKUP($M25,Pflanzenkatalog!$A$2:$AB$632,9,FALSE)</f>
        <v>50</v>
      </c>
      <c r="V25" s="30">
        <f>VLOOKUP($M25,Pflanzenkatalog!$A$2:$AB$632,10,FALSE)</f>
        <v>70</v>
      </c>
      <c r="W25" s="30" t="str">
        <f>VLOOKUP($M25,Pflanzenkatalog!$A$2:$AB$632,11,FALSE)</f>
        <v>Juli</v>
      </c>
      <c r="X25" s="30" t="str">
        <f>VLOOKUP($M25,Pflanzenkatalog!$A$2:$AB$632,12,FALSE)</f>
        <v>20-50 cm</v>
      </c>
      <c r="Y25" s="30" t="str">
        <f>VLOOKUP($M25,Pflanzenkatalog!$A$2:$AB$632,13,FALSE)</f>
        <v>REINSAAT</v>
      </c>
      <c r="Z25" s="30" t="str">
        <f>VLOOKUP($M25,Pflanzenkatalog!$A$2:$AB$632,14,FALSE)</f>
        <v>Salat</v>
      </c>
      <c r="AA25" s="30" t="str">
        <f>VLOOKUP($M25,Pflanzenkatalog!$A$2:$AB$632,15,FALSE)</f>
        <v>Tagetes gegen Nematoden, Viren und weiße Fliege</v>
      </c>
      <c r="AB25" s="30">
        <f>VLOOKUP($M25,Pflanzenkatalog!$A$2:$AB$632,16,FALSE)</f>
        <v>0</v>
      </c>
      <c r="AC25" s="30">
        <f>VLOOKUP($M25,Pflanzenkatalog!$A$2:$AB$632,17,FALSE)</f>
        <v>0</v>
      </c>
      <c r="AD25" s="30">
        <f>VLOOKUP($M25,Pflanzenkatalog!$A$2:$AB$632,18,FALSE)</f>
        <v>0</v>
      </c>
      <c r="AE25" s="30">
        <f>VLOOKUP($M25,Pflanzenkatalog!$A$2:$AB$632,19,FALSE)</f>
        <v>0</v>
      </c>
      <c r="AF25" s="30" t="str">
        <f>VLOOKUP($M25,Pflanzenkatalog!$A$2:$AB$632,20,FALSE)</f>
        <v>Frucht</v>
      </c>
    </row>
    <row r="26" spans="1:32" x14ac:dyDescent="0.2">
      <c r="A26" s="4" t="s">
        <v>198</v>
      </c>
      <c r="B26" s="30" t="s">
        <v>4</v>
      </c>
      <c r="C26" s="30" t="s">
        <v>194</v>
      </c>
      <c r="D26" s="30" t="s">
        <v>195</v>
      </c>
      <c r="E26" s="30" t="s">
        <v>139</v>
      </c>
      <c r="F26" s="30">
        <v>3</v>
      </c>
      <c r="G26" s="30" t="s">
        <v>16</v>
      </c>
      <c r="H26" s="30" t="s">
        <v>144</v>
      </c>
      <c r="I26" s="30" t="s">
        <v>151</v>
      </c>
      <c r="J26" s="30" t="s">
        <v>153</v>
      </c>
      <c r="K26" s="30" t="s">
        <v>146</v>
      </c>
      <c r="L26" s="31">
        <v>10</v>
      </c>
      <c r="M26" s="28">
        <v>8</v>
      </c>
      <c r="N26" s="4" t="str">
        <f>VLOOKUP($M26,Pflanzenkatalog!$A$2:$AB$632,2,FALSE)</f>
        <v>Knackerbse Spring Blush</v>
      </c>
      <c r="O26" s="30" t="str">
        <f>VLOOKUP($M26,Pflanzenkatalog!$A$2:$AB$632,3,FALSE)</f>
        <v>01.03.-31.05.</v>
      </c>
      <c r="P26" s="30" t="str">
        <f>VLOOKUP($M26,Pflanzenkatalog!$A$2:$AB$632,4,FALSE)</f>
        <v>10-20</v>
      </c>
      <c r="Q26" s="30" t="str">
        <f>VLOOKUP($M26,Pflanzenkatalog!$A$2:$AB$632,5,FALSE)</f>
        <v>8-14</v>
      </c>
      <c r="R26" s="30">
        <f>VLOOKUP($M26,Pflanzenkatalog!$A$2:$AB$632,6,FALSE)</f>
        <v>3</v>
      </c>
      <c r="S26" s="30">
        <f>VLOOKUP($M26,Pflanzenkatalog!$A$2:$AB$632,7,FALSE)</f>
        <v>0</v>
      </c>
      <c r="T26" s="30" t="str">
        <f>VLOOKUP($M26,Pflanzenkatalog!$A$2:$AB$632,8,FALSE)</f>
        <v>01.03.-31.05.</v>
      </c>
      <c r="U26" s="30">
        <f>VLOOKUP($M26,Pflanzenkatalog!$A$2:$AB$632,9,FALSE)</f>
        <v>3</v>
      </c>
      <c r="V26" s="30">
        <f>VLOOKUP($M26,Pflanzenkatalog!$A$2:$AB$632,10,FALSE)</f>
        <v>30</v>
      </c>
      <c r="W26" s="30" t="str">
        <f>VLOOKUP($M26,Pflanzenkatalog!$A$2:$AB$632,11,FALSE)</f>
        <v>Mai</v>
      </c>
      <c r="X26" s="30" t="str">
        <f>VLOOKUP($M26,Pflanzenkatalog!$A$2:$AB$632,12,FALSE)</f>
        <v xml:space="preserve">ca. bis 120 cm, Rankhilfe </v>
      </c>
      <c r="Y26" s="30" t="str">
        <f>VLOOKUP($M26,Pflanzenkatalog!$A$2:$AB$632,13,FALSE)</f>
        <v>Sorten WERKSTATT</v>
      </c>
      <c r="Z26" s="30" t="str">
        <f>VLOOKUP($M26,Pflanzenkatalog!$A$2:$AB$632,14,FALSE)</f>
        <v>Dill, Fenchel, Gurken, Kohlarten, Mais, Möhren, Kohlrabi, Kopfsalat, Radieschen, Zucchini</v>
      </c>
      <c r="AA26" s="30">
        <f>VLOOKUP($M26,Pflanzenkatalog!$A$2:$AB$632,15,FALSE)</f>
        <v>0</v>
      </c>
      <c r="AB26" s="30" t="str">
        <f>VLOOKUP($M26,Pflanzenkatalog!$A$2:$AB$632,16,FALSE)</f>
        <v>Bohnen, Kartoffeln, Knoblauch, Lauch, Tomaten, Zwiebeln</v>
      </c>
      <c r="AC26" s="30" t="str">
        <f>VLOOKUP($M26,Pflanzenkatalog!$A$2:$AB$632,17,FALSE)</f>
        <v>Halbschatten, Erbsen nicht zu spät aussäen
Die meisten Erbsensorten bilden an kühlen, kurzen Tagen nur Blätter. Erst wenn die Tage länger werden und die Temperaturen steigen, meist ab Mitte Mai, entwickeln sich Blüten. Wer viel ernten möchte, sät die Erbsen so früh wie möglich, damit die Pflanzen vor der Blütenbildung noch lange wachsen,  empfehlenswert ist es, die Erbsen spätestens Ende April zu säen.</v>
      </c>
      <c r="AD26" s="30" t="str">
        <f>VLOOKUP($M26,Pflanzenkatalog!$A$2:$AB$632,18,FALSE)</f>
        <v>Knackerbse, das heißt, die Hülsen sind sehr knackig und süß, nicht fädig und somit lang beerntbar. Nicht vergleichbar mit Zuckererbsen! Diese neue Sorte hat grün-violetten Schoten, ist aber noch nicht ganz einheitlich durchselektiert. Nutzbar sind die Schoten (frisch und gekocht), die frischen Erbsensamen und die Ranken, von denen die Pflanze zahlreiche bildet. Sehr schön! Aussaat ab März. Direktsaat. Rankhilfe notwenig.</v>
      </c>
      <c r="AE26" s="30">
        <f>VLOOKUP($M26,Pflanzenkatalog!$A$2:$AB$632,19,FALSE)</f>
        <v>0</v>
      </c>
      <c r="AF26" s="30" t="str">
        <f>VLOOKUP($M26,Pflanzenkatalog!$A$2:$AB$632,20,FALSE)</f>
        <v>Hülse</v>
      </c>
    </row>
    <row r="27" spans="1:32" x14ac:dyDescent="0.2">
      <c r="A27" s="4" t="s">
        <v>191</v>
      </c>
      <c r="B27" s="30" t="s">
        <v>4</v>
      </c>
      <c r="C27" s="30" t="s">
        <v>194</v>
      </c>
      <c r="D27" s="30" t="s">
        <v>195</v>
      </c>
      <c r="E27" s="30" t="s">
        <v>139</v>
      </c>
      <c r="F27" s="30">
        <v>3</v>
      </c>
      <c r="G27" s="30" t="s">
        <v>27</v>
      </c>
      <c r="H27" s="30" t="s">
        <v>19</v>
      </c>
      <c r="I27" s="30" t="s">
        <v>151</v>
      </c>
      <c r="J27" s="30" t="s">
        <v>43</v>
      </c>
      <c r="K27" s="30" t="s">
        <v>146</v>
      </c>
      <c r="L27" s="31">
        <v>1</v>
      </c>
      <c r="M27" s="28">
        <v>1</v>
      </c>
      <c r="N27" s="4" t="str">
        <f>VLOOKUP($M27,Pflanzenkatalog!$A$2:$AB$632,2,FALSE)</f>
        <v>Fleischparadeiser Rotes Herz</v>
      </c>
      <c r="O27" s="30" t="str">
        <f>VLOOKUP($M27,Pflanzenkatalog!$A$2:$AB$632,3,FALSE)</f>
        <v>15.03-15.04</v>
      </c>
      <c r="P27" s="30" t="str">
        <f>VLOOKUP($M27,Pflanzenkatalog!$A$2:$AB$632,4,FALSE)</f>
        <v>20-25</v>
      </c>
      <c r="Q27" s="30" t="str">
        <f>VLOOKUP($M27,Pflanzenkatalog!$A$2:$AB$632,5,FALSE)</f>
        <v>8-10</v>
      </c>
      <c r="R27" s="30" t="str">
        <f>VLOOKUP($M27,Pflanzenkatalog!$A$2:$AB$632,6,FALSE)</f>
        <v>Licht</v>
      </c>
      <c r="S27" s="30" t="str">
        <f>VLOOKUP($M27,Pflanzenkatalog!$A$2:$AB$632,7,FALSE)</f>
        <v>15.05-31.05.</v>
      </c>
      <c r="T27" s="30" t="str">
        <f>VLOOKUP($M27,Pflanzenkatalog!$A$2:$AB$632,8,FALSE)</f>
        <v>nein</v>
      </c>
      <c r="U27" s="30">
        <f>VLOOKUP($M27,Pflanzenkatalog!$A$2:$AB$632,9,FALSE)</f>
        <v>50</v>
      </c>
      <c r="V27" s="30">
        <f>VLOOKUP($M27,Pflanzenkatalog!$A$2:$AB$632,10,FALSE)</f>
        <v>100</v>
      </c>
      <c r="W27" s="30" t="str">
        <f>VLOOKUP($M27,Pflanzenkatalog!$A$2:$AB$632,11,FALSE)</f>
        <v>August</v>
      </c>
      <c r="X27" s="30" t="str">
        <f>VLOOKUP($M27,Pflanzenkatalog!$A$2:$AB$632,12,FALSE)</f>
        <v>unbegrenzt, locker belaubt, wirkt im Jugendstadium schwach, bisweilen bräunliche Blätter die später verschwinden</v>
      </c>
      <c r="Y27" s="30" t="str">
        <f>VLOOKUP($M27,Pflanzenkatalog!$A$2:$AB$632,13,FALSE)</f>
        <v>Arche Noah</v>
      </c>
      <c r="Z27" s="30" t="str">
        <f>VLOOKUP($M27,Pflanzenkatalog!$A$2:$AB$632,14,FALSE)</f>
        <v xml:space="preserve">	Buschbohne, Knoblauch, Kohl, Kohlrabi</v>
      </c>
      <c r="AA27" s="30" t="str">
        <f>VLOOKUP($M27,Pflanzenkatalog!$A$2:$AB$632,15,FALSE)</f>
        <v>Basilikum, gegen Mehltau und weiße Fliege
Tagetes, gegen Nematoden, Viren und weiße Fliege</v>
      </c>
      <c r="AB27" s="30" t="str">
        <f>VLOOKUP($M27,Pflanzenkatalog!$A$2:$AB$632,16,FALSE)</f>
        <v>Erbse, Fenchel, Kartoffeln</v>
      </c>
      <c r="AC27" s="30" t="str">
        <f>VLOOKUP($M27,Pflanzenkatalog!$A$2:$AB$632,17,FALSE)</f>
        <v>Ausgeizen, Mulchen, warm, Schutz vor Regen, mäßig von unten gießen</v>
      </c>
      <c r="AD27" s="30" t="str">
        <f>VLOOKUP($M27,Pflanzenkatalog!$A$2:$AB$632,18,FALSE)</f>
        <v>Das rotes Ochsenherz lässt sich vielfältig verwenden, für Suppen, Saucen und Salate. Die Ausgewogenheit von Süße und Säure ergibt einen sehr guten Geschmack, herzförmig, schwach gerippt und 10-12 cm groß. Ursprünglich stammt die Sorte aus Kroatien.</v>
      </c>
      <c r="AE27" s="30">
        <f>VLOOKUP($M27,Pflanzenkatalog!$A$2:$AB$632,19,FALSE)</f>
        <v>0</v>
      </c>
      <c r="AF27" s="30" t="str">
        <f>VLOOKUP($M27,Pflanzenkatalog!$A$2:$AB$632,20,FALSE)</f>
        <v>Frucht</v>
      </c>
    </row>
    <row r="28" spans="1:32" x14ac:dyDescent="0.2">
      <c r="A28" s="4" t="s">
        <v>191</v>
      </c>
      <c r="B28" s="30" t="s">
        <v>4</v>
      </c>
      <c r="C28" s="30" t="s">
        <v>194</v>
      </c>
      <c r="D28" s="30" t="s">
        <v>195</v>
      </c>
      <c r="E28" s="30" t="s">
        <v>139</v>
      </c>
      <c r="F28" s="30">
        <v>3</v>
      </c>
      <c r="G28" s="30" t="s">
        <v>27</v>
      </c>
      <c r="H28" s="30" t="s">
        <v>19</v>
      </c>
      <c r="I28" s="30" t="s">
        <v>151</v>
      </c>
      <c r="J28" s="30" t="s">
        <v>43</v>
      </c>
      <c r="K28" s="30" t="s">
        <v>146</v>
      </c>
      <c r="L28" s="31">
        <v>1</v>
      </c>
      <c r="M28" s="28">
        <v>48</v>
      </c>
      <c r="N28" s="4" t="str">
        <f>VLOOKUP($M28,Pflanzenkatalog!$A$2:$AB$632,2,FALSE)</f>
        <v>Salatparadeiser gestreift SPAR</v>
      </c>
      <c r="O28" s="30" t="str">
        <f>VLOOKUP($M28,Pflanzenkatalog!$A$2:$AB$632,3,FALSE)</f>
        <v>15.03-15.04.</v>
      </c>
      <c r="P28" s="30" t="str">
        <f>VLOOKUP($M28,Pflanzenkatalog!$A$2:$AB$632,4,FALSE)</f>
        <v>20-25</v>
      </c>
      <c r="Q28" s="30" t="str">
        <f>VLOOKUP($M28,Pflanzenkatalog!$A$2:$AB$632,5,FALSE)</f>
        <v>8-10</v>
      </c>
      <c r="R28" s="30" t="str">
        <f>VLOOKUP($M28,Pflanzenkatalog!$A$2:$AB$632,6,FALSE)</f>
        <v>Licht</v>
      </c>
      <c r="S28" s="30" t="str">
        <f>VLOOKUP($M28,Pflanzenkatalog!$A$2:$AB$632,7,FALSE)</f>
        <v>15.05-31.05.</v>
      </c>
      <c r="T28" s="30" t="str">
        <f>VLOOKUP($M28,Pflanzenkatalog!$A$2:$AB$632,8,FALSE)</f>
        <v>nein</v>
      </c>
      <c r="U28" s="30">
        <f>VLOOKUP($M28,Pflanzenkatalog!$A$2:$AB$632,9,FALSE)</f>
        <v>50</v>
      </c>
      <c r="V28" s="30">
        <f>VLOOKUP($M28,Pflanzenkatalog!$A$2:$AB$632,10,FALSE)</f>
        <v>80</v>
      </c>
      <c r="W28" s="30" t="str">
        <f>VLOOKUP($M28,Pflanzenkatalog!$A$2:$AB$632,11,FALSE)</f>
        <v>Juli</v>
      </c>
      <c r="X28" s="30" t="str">
        <f>VLOOKUP($M28,Pflanzenkatalog!$A$2:$AB$632,12,FALSE)</f>
        <v>Stabtomate</v>
      </c>
      <c r="Y28" s="30" t="str">
        <f>VLOOKUP($M28,Pflanzenkatalog!$A$2:$AB$632,13,FALSE)</f>
        <v>SPAR Bio</v>
      </c>
      <c r="Z28" s="30" t="str">
        <f>VLOOKUP($M28,Pflanzenkatalog!$A$2:$AB$632,14,FALSE)</f>
        <v xml:space="preserve">	Buschbohne, Knoblauch, Kohl, Kohlrabi</v>
      </c>
      <c r="AA28" s="30" t="str">
        <f>VLOOKUP($M28,Pflanzenkatalog!$A$2:$AB$632,15,FALSE)</f>
        <v>Basilikum, gegen Mehltau und weiße Fliege
Tagetes, gegen Nematoden, Viren und weiße Fliege</v>
      </c>
      <c r="AB28" s="30" t="str">
        <f>VLOOKUP($M28,Pflanzenkatalog!$A$2:$AB$632,16,FALSE)</f>
        <v>Erbse, Fenchel, Kartoffeln</v>
      </c>
      <c r="AC28" s="30">
        <f>VLOOKUP($M28,Pflanzenkatalog!$A$2:$AB$632,17,FALSE)</f>
        <v>0</v>
      </c>
      <c r="AD28" s="30" t="str">
        <f>VLOOKUP($M28,Pflanzenkatalog!$A$2:$AB$632,18,FALSE)</f>
        <v>Im Salat kommt der süß-aromatische Geschmack hervorragend zur Geltung. Extrem frühreifend ist die Sorte auch für rauhere Lagen empfehlenswert.
Die roten, runden, ca. 4 cm großen Früchte kann man die ganze Saison über ernten.</v>
      </c>
      <c r="AE28" s="30">
        <f>VLOOKUP($M28,Pflanzenkatalog!$A$2:$AB$632,19,FALSE)</f>
        <v>0</v>
      </c>
      <c r="AF28" s="30" t="str">
        <f>VLOOKUP($M28,Pflanzenkatalog!$A$2:$AB$632,20,FALSE)</f>
        <v>Frucht</v>
      </c>
    </row>
    <row r="29" spans="1:32" x14ac:dyDescent="0.2">
      <c r="A29" s="4" t="s">
        <v>191</v>
      </c>
      <c r="B29" s="30" t="s">
        <v>4</v>
      </c>
      <c r="C29" s="30" t="s">
        <v>194</v>
      </c>
      <c r="D29" s="30" t="s">
        <v>195</v>
      </c>
      <c r="E29" s="30" t="s">
        <v>139</v>
      </c>
      <c r="F29" s="30">
        <v>3</v>
      </c>
      <c r="G29" s="30" t="s">
        <v>27</v>
      </c>
      <c r="H29" s="30" t="s">
        <v>19</v>
      </c>
      <c r="I29" s="30" t="s">
        <v>151</v>
      </c>
      <c r="J29" s="30" t="s">
        <v>43</v>
      </c>
      <c r="K29" s="30" t="s">
        <v>146</v>
      </c>
      <c r="L29" s="31">
        <v>1</v>
      </c>
      <c r="M29" s="28">
        <v>3</v>
      </c>
      <c r="N29" s="4" t="str">
        <f>VLOOKUP($M29,Pflanzenkatalog!$A$2:$AB$632,2,FALSE)</f>
        <v>Basilikum Genoveser</v>
      </c>
      <c r="O29" s="30" t="str">
        <f>VLOOKUP($M29,Pflanzenkatalog!$A$2:$AB$632,3,FALSE)</f>
        <v>01.01.-31.12.</v>
      </c>
      <c r="P29" s="30" t="str">
        <f>VLOOKUP($M29,Pflanzenkatalog!$A$2:$AB$632,4,FALSE)</f>
        <v>18-22</v>
      </c>
      <c r="Q29" s="30" t="str">
        <f>VLOOKUP($M29,Pflanzenkatalog!$A$2:$AB$632,5,FALSE)</f>
        <v>14-18</v>
      </c>
      <c r="R29" s="30" t="str">
        <f>VLOOKUP($M29,Pflanzenkatalog!$A$2:$AB$632,6,FALSE)</f>
        <v>Licht</v>
      </c>
      <c r="S29" s="30" t="str">
        <f>VLOOKUP($M29,Pflanzenkatalog!$A$2:$AB$632,7,FALSE)</f>
        <v>01.05.</v>
      </c>
      <c r="T29" s="30" t="str">
        <f>VLOOKUP($M29,Pflanzenkatalog!$A$2:$AB$632,8,FALSE)</f>
        <v>31.05.-31.07.</v>
      </c>
      <c r="U29" s="30">
        <f>VLOOKUP($M29,Pflanzenkatalog!$A$2:$AB$632,9,FALSE)</f>
        <v>30</v>
      </c>
      <c r="V29" s="30">
        <f>VLOOKUP($M29,Pflanzenkatalog!$A$2:$AB$632,10,FALSE)</f>
        <v>30</v>
      </c>
      <c r="W29" s="30" t="str">
        <f>VLOOKUP($M29,Pflanzenkatalog!$A$2:$AB$632,11,FALSE)</f>
        <v>Ganzjährig</v>
      </c>
      <c r="X29" s="30" t="str">
        <f>VLOOKUP($M29,Pflanzenkatalog!$A$2:$AB$632,12,FALSE)</f>
        <v>Busch bis 50 cm</v>
      </c>
      <c r="Y29" s="30" t="str">
        <f>VLOOKUP($M29,Pflanzenkatalog!$A$2:$AB$632,13,FALSE)</f>
        <v>samenmaier Bio</v>
      </c>
      <c r="Z29" s="30" t="str">
        <f>VLOOKUP($M29,Pflanzenkatalog!$A$2:$AB$632,14,FALSE)</f>
        <v>Tomaten, Gurken, Kohl	gegen Mehltau und weiße Fliege</v>
      </c>
      <c r="AA29" s="30">
        <f>VLOOKUP($M29,Pflanzenkatalog!$A$2:$AB$632,15,FALSE)</f>
        <v>0</v>
      </c>
      <c r="AB29" s="30">
        <f>VLOOKUP($M29,Pflanzenkatalog!$A$2:$AB$632,16,FALSE)</f>
        <v>0</v>
      </c>
      <c r="AC29" s="30" t="str">
        <f>VLOOKUP($M29,Pflanzenkatalog!$A$2:$AB$632,17,FALSE)</f>
        <v>sonniger Standort , durchlässiger Boden</v>
      </c>
      <c r="AD29" s="30" t="str">
        <f>VLOOKUP($M29,Pflanzenkatalog!$A$2:$AB$632,18,FALSE)</f>
        <v>Bekommt sie genügend Wärme, wächst sie sehr rasch.</v>
      </c>
      <c r="AE29" s="30">
        <f>VLOOKUP($M29,Pflanzenkatalog!$A$2:$AB$632,19,FALSE)</f>
        <v>0</v>
      </c>
      <c r="AF29" s="30" t="str">
        <f>VLOOKUP($M29,Pflanzenkatalog!$A$2:$AB$632,20,FALSE)</f>
        <v>Kräuter</v>
      </c>
    </row>
    <row r="30" spans="1:32" x14ac:dyDescent="0.2">
      <c r="A30" s="4" t="s">
        <v>192</v>
      </c>
      <c r="B30" s="30" t="s">
        <v>4</v>
      </c>
      <c r="C30" s="30" t="s">
        <v>194</v>
      </c>
      <c r="D30" s="30" t="s">
        <v>195</v>
      </c>
      <c r="E30" s="30" t="s">
        <v>139</v>
      </c>
      <c r="F30" s="30">
        <v>3</v>
      </c>
      <c r="G30" s="30" t="s">
        <v>27</v>
      </c>
      <c r="H30" s="30" t="s">
        <v>20</v>
      </c>
      <c r="I30" s="30" t="s">
        <v>152</v>
      </c>
      <c r="J30" s="30" t="s">
        <v>28</v>
      </c>
      <c r="K30" s="30" t="s">
        <v>146</v>
      </c>
      <c r="L30" s="31">
        <v>3</v>
      </c>
      <c r="M30" s="28">
        <v>4</v>
      </c>
      <c r="N30" s="4" t="str">
        <f>VLOOKUP($M30,Pflanzenkatalog!$A$2:$AB$632,2,FALSE)</f>
        <v>Kohlrabi Superschmelz</v>
      </c>
      <c r="O30" s="30" t="str">
        <f>VLOOKUP($M30,Pflanzenkatalog!$A$2:$AB$632,3,FALSE)</f>
        <v>15.02.-15.03.</v>
      </c>
      <c r="P30" s="30" t="str">
        <f>VLOOKUP($M30,Pflanzenkatalog!$A$2:$AB$632,4,FALSE)</f>
        <v>16-20</v>
      </c>
      <c r="Q30" s="30" t="str">
        <f>VLOOKUP($M30,Pflanzenkatalog!$A$2:$AB$632,5,FALSE)</f>
        <v>5-8</v>
      </c>
      <c r="R30" s="30">
        <f>VLOOKUP($M30,Pflanzenkatalog!$A$2:$AB$632,6,FALSE)</f>
        <v>2</v>
      </c>
      <c r="S30" s="30" t="str">
        <f>VLOOKUP($M30,Pflanzenkatalog!$A$2:$AB$632,7,FALSE)</f>
        <v>01.04.</v>
      </c>
      <c r="T30" s="30" t="str">
        <f>VLOOKUP($M30,Pflanzenkatalog!$A$2:$AB$632,8,FALSE)</f>
        <v>01.04.-31.05.</v>
      </c>
      <c r="U30" s="30">
        <f>VLOOKUP($M30,Pflanzenkatalog!$A$2:$AB$632,9,FALSE)</f>
        <v>60</v>
      </c>
      <c r="V30" s="30">
        <f>VLOOKUP($M30,Pflanzenkatalog!$A$2:$AB$632,10,FALSE)</f>
        <v>60</v>
      </c>
      <c r="W30" s="30" t="str">
        <f>VLOOKUP($M30,Pflanzenkatalog!$A$2:$AB$632,11,FALSE)</f>
        <v>August</v>
      </c>
      <c r="X30" s="30" t="str">
        <f>VLOOKUP($M30,Pflanzenkatalog!$A$2:$AB$632,12,FALSE)</f>
        <v>Riesenkohlrabi, bis zu 8 kg</v>
      </c>
      <c r="Y30" s="30" t="str">
        <f>VLOOKUP($M30,Pflanzenkatalog!$A$2:$AB$632,13,FALSE)</f>
        <v>samenmaier Bio</v>
      </c>
      <c r="Z30" s="30" t="str">
        <f>VLOOKUP($M30,Pflanzenkatalog!$A$2:$AB$632,14,FALSE)</f>
        <v>Bohnen, Erbsen, Kartoffeln, Kopfsalat, Tomaten, Radieschen, Rote Bete, Sellerie, Spinat, Lauch</v>
      </c>
      <c r="AA30" s="30">
        <f>VLOOKUP($M30,Pflanzenkatalog!$A$2:$AB$632,15,FALSE)</f>
        <v>0</v>
      </c>
      <c r="AB30" s="30">
        <f>VLOOKUP($M30,Pflanzenkatalog!$A$2:$AB$632,16,FALSE)</f>
        <v>0</v>
      </c>
      <c r="AC30" s="30" t="str">
        <f>VLOOKUP($M30,Pflanzenkatalog!$A$2:$AB$632,17,FALSE)</f>
        <v>Frostfrei! Schatten, Knolle kein Erdkontakt wegen Schimmel. Kohlanbaufläche jährlich wechseln! Nährstoffreicher, humosen Boder. Bei Trockenheit regelmäßig gießen, damit die Kohlrabi nicht platzen. Wasser- und Nährstoffmangel führt zu Wachstumsstockungen, mehrmals düngen.</v>
      </c>
      <c r="AD30" s="30" t="str">
        <f>VLOOKUP($M30,Pflanzenkatalog!$A$2:$AB$632,18,FALSE)</f>
        <v xml:space="preserve"> Zur Lagerung und zum Tiefgefrieren bestens geeignet. Alle Kohlarten sind von allen Gemüse-Arten am längsten lagerbar und gelten als typisches Wintergemüse. Schon seit der Steinzeit wird vermutet, dass Kohl als Lebensmittel für uns gedient hat.</v>
      </c>
      <c r="AE30" s="30">
        <f>VLOOKUP($M30,Pflanzenkatalog!$A$2:$AB$632,19,FALSE)</f>
        <v>0</v>
      </c>
      <c r="AF30" s="30" t="str">
        <f>VLOOKUP($M30,Pflanzenkatalog!$A$2:$AB$632,20,FALSE)</f>
        <v>Kohl</v>
      </c>
    </row>
    <row r="31" spans="1:32" x14ac:dyDescent="0.2">
      <c r="A31" s="4" t="s">
        <v>193</v>
      </c>
      <c r="B31" s="30" t="s">
        <v>4</v>
      </c>
      <c r="C31" s="30" t="s">
        <v>194</v>
      </c>
      <c r="D31" s="30" t="s">
        <v>195</v>
      </c>
      <c r="E31" s="30" t="s">
        <v>139</v>
      </c>
      <c r="F31" s="30">
        <v>3</v>
      </c>
      <c r="G31" s="30" t="s">
        <v>27</v>
      </c>
      <c r="H31" s="30" t="s">
        <v>144</v>
      </c>
      <c r="I31" s="30" t="s">
        <v>525</v>
      </c>
      <c r="J31" s="30" t="s">
        <v>28</v>
      </c>
      <c r="K31" s="30" t="s">
        <v>146</v>
      </c>
      <c r="L31" s="31">
        <v>25</v>
      </c>
      <c r="M31" s="28">
        <v>10</v>
      </c>
      <c r="N31" s="4" t="str">
        <f>VLOOKUP($M31,Pflanzenkatalog!$A$2:$AB$632,2,FALSE)</f>
        <v>Schnittsalat Asia Oriental Mix</v>
      </c>
      <c r="O31" s="30" t="str">
        <f>VLOOKUP($M31,Pflanzenkatalog!$A$2:$AB$632,3,FALSE)</f>
        <v>01.01.-30.04.</v>
      </c>
      <c r="P31" s="30" t="str">
        <f>VLOOKUP($M31,Pflanzenkatalog!$A$2:$AB$632,4,FALSE)</f>
        <v>10-20</v>
      </c>
      <c r="Q31" s="30" t="str">
        <f>VLOOKUP($M31,Pflanzenkatalog!$A$2:$AB$632,5,FALSE)</f>
        <v>8-15</v>
      </c>
      <c r="R31" s="30" t="str">
        <f>VLOOKUP($M31,Pflanzenkatalog!$A$2:$AB$632,6,FALSE)</f>
        <v>1-2</v>
      </c>
      <c r="S31" s="30" t="str">
        <f>VLOOKUP($M31,Pflanzenkatalog!$A$2:$AB$632,7,FALSE)</f>
        <v>01.02.</v>
      </c>
      <c r="T31" s="30" t="str">
        <f>VLOOKUP($M31,Pflanzenkatalog!$A$2:$AB$632,8,FALSE)</f>
        <v>15.07.-01.10.</v>
      </c>
      <c r="U31" s="30" t="str">
        <f>VLOOKUP($M31,Pflanzenkatalog!$A$2:$AB$632,9,FALSE)</f>
        <v>Streu</v>
      </c>
      <c r="V31" s="30" t="str">
        <f>VLOOKUP($M31,Pflanzenkatalog!$A$2:$AB$632,10,FALSE)</f>
        <v>Streu</v>
      </c>
      <c r="W31" s="30" t="str">
        <f>VLOOKUP($M31,Pflanzenkatalog!$A$2:$AB$632,11,FALSE)</f>
        <v>März</v>
      </c>
      <c r="X31" s="30" t="str">
        <f>VLOOKUP($M31,Pflanzenkatalog!$A$2:$AB$632,12,FALSE)</f>
        <v>breitwürfig, mehrfacher Schnitt</v>
      </c>
      <c r="Y31" s="30" t="str">
        <f>VLOOKUP($M31,Pflanzenkatalog!$A$2:$AB$632,13,FALSE)</f>
        <v>REINSAAT</v>
      </c>
      <c r="Z31" s="30" t="str">
        <f>VLOOKUP($M31,Pflanzenkatalog!$A$2:$AB$632,14,FALSE)</f>
        <v>Bohnen, Dill, Erbsen, Erdbeeren, Gurken, Kohl, Lauch, Möhren, Tomaten, Zwiebeln</v>
      </c>
      <c r="AA31" s="30" t="str">
        <f>VLOOKUP($M31,Pflanzenkatalog!$A$2:$AB$632,15,FALSE)</f>
        <v>Kerbel, gegen Läuse</v>
      </c>
      <c r="AB31" s="30" t="str">
        <f>VLOOKUP($M31,Pflanzenkatalog!$A$2:$AB$632,16,FALSE)</f>
        <v>Petersilie, Sellerie</v>
      </c>
      <c r="AC31" s="30" t="str">
        <f>VLOOKUP($M31,Pflanzenkatalog!$A$2:$AB$632,17,FALSE)</f>
        <v>frosttolerant, Direktsaat Freiland unter Vlies ab Februar/März und Juli bis Ende September, Voranzucht für frostfreies Gewächshaus ab Juli bis Jänner für satzweisen Anbau, Kalthaus Februar bis April</v>
      </c>
      <c r="AD31" s="30" t="str">
        <f>VLOOKUP($M31,Pflanzenkatalog!$A$2:$AB$632,18,FALSE)</f>
        <v>Oriental Mix ist eine bunte Cut-and-Come- Again-Salatmischung aus den frostverträglichen Asia-Blattgemüsesorten Pak Choi, Bok Choi, Mizuna, Mibuna, Purple Wave, Rouge metis, Grün im Schnee, Red Giant und anderen. Die Sortenmischung umfasst alle Geschmäcker von feinwürzig bis senfartig scharf.</v>
      </c>
      <c r="AE31" s="30">
        <f>VLOOKUP($M31,Pflanzenkatalog!$A$2:$AB$632,19,FALSE)</f>
        <v>0</v>
      </c>
      <c r="AF31" s="30" t="str">
        <f>VLOOKUP($M31,Pflanzenkatalog!$A$2:$AB$632,20,FALSE)</f>
        <v>Blatt</v>
      </c>
    </row>
    <row r="32" spans="1:32" x14ac:dyDescent="0.2">
      <c r="A32" s="4" t="s">
        <v>193</v>
      </c>
      <c r="B32" s="30" t="s">
        <v>4</v>
      </c>
      <c r="C32" s="30" t="s">
        <v>194</v>
      </c>
      <c r="D32" s="30" t="s">
        <v>195</v>
      </c>
      <c r="E32" s="30" t="s">
        <v>139</v>
      </c>
      <c r="F32" s="30">
        <v>3</v>
      </c>
      <c r="G32" s="30" t="s">
        <v>27</v>
      </c>
      <c r="H32" s="30" t="s">
        <v>144</v>
      </c>
      <c r="I32" s="30" t="s">
        <v>525</v>
      </c>
      <c r="J32" s="30" t="s">
        <v>28</v>
      </c>
      <c r="K32" s="30" t="s">
        <v>146</v>
      </c>
      <c r="L32" s="31">
        <v>25</v>
      </c>
      <c r="M32" s="28">
        <v>11</v>
      </c>
      <c r="N32" s="4" t="str">
        <f>VLOOKUP($M32,Pflanzenkatalog!$A$2:$AB$632,2,FALSE)</f>
        <v>Schnittsalat Misticanza</v>
      </c>
      <c r="O32" s="30" t="str">
        <f>VLOOKUP($M32,Pflanzenkatalog!$A$2:$AB$632,3,FALSE)</f>
        <v>01.01.-30.04.</v>
      </c>
      <c r="P32" s="30" t="str">
        <f>VLOOKUP($M32,Pflanzenkatalog!$A$2:$AB$632,4,FALSE)</f>
        <v>10-15</v>
      </c>
      <c r="Q32" s="30" t="str">
        <f>VLOOKUP($M32,Pflanzenkatalog!$A$2:$AB$632,5,FALSE)</f>
        <v>7-14</v>
      </c>
      <c r="R32" s="30" t="str">
        <f>VLOOKUP($M32,Pflanzenkatalog!$A$2:$AB$632,6,FALSE)</f>
        <v>1-2</v>
      </c>
      <c r="S32" s="30" t="str">
        <f>VLOOKUP($M32,Pflanzenkatalog!$A$2:$AB$632,7,FALSE)</f>
        <v>01.02.</v>
      </c>
      <c r="T32" s="30" t="str">
        <f>VLOOKUP($M32,Pflanzenkatalog!$A$2:$AB$632,8,FALSE)</f>
        <v>01.02.-01.09.</v>
      </c>
      <c r="U32" s="30" t="str">
        <f>VLOOKUP($M32,Pflanzenkatalog!$A$2:$AB$632,9,FALSE)</f>
        <v>Streu</v>
      </c>
      <c r="V32" s="30" t="str">
        <f>VLOOKUP($M32,Pflanzenkatalog!$A$2:$AB$632,10,FALSE)</f>
        <v>Streu</v>
      </c>
      <c r="W32" s="30" t="str">
        <f>VLOOKUP($M32,Pflanzenkatalog!$A$2:$AB$632,11,FALSE)</f>
        <v>Februar</v>
      </c>
      <c r="X32" s="30" t="str">
        <f>VLOOKUP($M32,Pflanzenkatalog!$A$2:$AB$632,12,FALSE)</f>
        <v>breitwürfig, mehrfacher Schnitt</v>
      </c>
      <c r="Y32" s="30" t="str">
        <f>VLOOKUP($M32,Pflanzenkatalog!$A$2:$AB$632,13,FALSE)</f>
        <v>REINSAAT</v>
      </c>
      <c r="Z32" s="30" t="str">
        <f>VLOOKUP($M32,Pflanzenkatalog!$A$2:$AB$632,14,FALSE)</f>
        <v>Bohnen, Dill, Erbsen, Erdbeeren, Gurken, Kohl, Lauch, Möhren, Tomaten, Zwiebeln</v>
      </c>
      <c r="AA32" s="30" t="str">
        <f>VLOOKUP($M32,Pflanzenkatalog!$A$2:$AB$632,15,FALSE)</f>
        <v>Kerbel, gegen Läuse</v>
      </c>
      <c r="AB32" s="30" t="str">
        <f>VLOOKUP($M32,Pflanzenkatalog!$A$2:$AB$632,16,FALSE)</f>
        <v>Petersilie, Sellerie</v>
      </c>
      <c r="AC32" s="30" t="str">
        <f>VLOOKUP($M32,Pflanzenkatalog!$A$2:$AB$632,17,FALSE)</f>
        <v>Direktsaat ab Februar mit Folgesaaten bis Anfang September.</v>
      </c>
      <c r="AD32" s="30" t="str">
        <f>VLOOKUP($M32,Pflanzenkatalog!$A$2:$AB$632,18,FALSE)</f>
        <v xml:space="preserve">Traditioneller, italienischer Sorten- und Artenmix. Beliebte Pflücksalat-Mischung aus den roten und grünen Pflücksalaten, Romana- und Eichblattsalaten, Schnittzichorien, Rucola und der typischen Spezialität des Original-Misticanza Hirschhornwegerichs (Herba Stella). </v>
      </c>
      <c r="AE32" s="30">
        <f>VLOOKUP($M32,Pflanzenkatalog!$A$2:$AB$632,19,FALSE)</f>
        <v>0</v>
      </c>
      <c r="AF32" s="30" t="str">
        <f>VLOOKUP($M32,Pflanzenkatalog!$A$2:$AB$632,20,FALSE)</f>
        <v>Blatt</v>
      </c>
    </row>
    <row r="33" spans="1:32" x14ac:dyDescent="0.2">
      <c r="A33" s="4" t="s">
        <v>148</v>
      </c>
      <c r="B33" s="30" t="s">
        <v>4</v>
      </c>
      <c r="C33" s="30" t="s">
        <v>5</v>
      </c>
      <c r="D33" s="30" t="s">
        <v>7</v>
      </c>
      <c r="E33" s="30" t="s">
        <v>139</v>
      </c>
      <c r="F33" s="30">
        <v>4</v>
      </c>
      <c r="G33" s="30" t="s">
        <v>16</v>
      </c>
      <c r="H33" s="30" t="s">
        <v>19</v>
      </c>
      <c r="I33" s="30" t="s">
        <v>151</v>
      </c>
      <c r="J33" s="30" t="s">
        <v>28</v>
      </c>
      <c r="K33" s="30" t="s">
        <v>146</v>
      </c>
      <c r="L33" s="31">
        <v>2</v>
      </c>
      <c r="M33" s="28">
        <v>23</v>
      </c>
      <c r="N33" s="4" t="str">
        <f>VLOOKUP($M33,Pflanzenkatalog!$A$2:$AB$632,2,FALSE)</f>
        <v>Aubergine Melanzani</v>
      </c>
      <c r="O33" s="30" t="str">
        <f>VLOOKUP($M33,Pflanzenkatalog!$A$2:$AB$632,3,FALSE)</f>
        <v>01.02.</v>
      </c>
      <c r="P33" s="30" t="str">
        <f>VLOOKUP($M33,Pflanzenkatalog!$A$2:$AB$632,4,FALSE)</f>
        <v>20-25</v>
      </c>
      <c r="Q33" s="30" t="str">
        <f>VLOOKUP($M33,Pflanzenkatalog!$A$2:$AB$632,5,FALSE)</f>
        <v>7-21</v>
      </c>
      <c r="R33" s="30" t="str">
        <f>VLOOKUP($M33,Pflanzenkatalog!$A$2:$AB$632,6,FALSE)</f>
        <v>1-2</v>
      </c>
      <c r="S33" s="30" t="str">
        <f>VLOOKUP($M33,Pflanzenkatalog!$A$2:$AB$632,7,FALSE)</f>
        <v>15.05.</v>
      </c>
      <c r="T33" s="30" t="str">
        <f>VLOOKUP($M33,Pflanzenkatalog!$A$2:$AB$632,8,FALSE)</f>
        <v>nein</v>
      </c>
      <c r="U33" s="30">
        <f>VLOOKUP($M33,Pflanzenkatalog!$A$2:$AB$632,9,FALSE)</f>
        <v>60</v>
      </c>
      <c r="V33" s="30">
        <f>VLOOKUP($M33,Pflanzenkatalog!$A$2:$AB$632,10,FALSE)</f>
        <v>100</v>
      </c>
      <c r="W33" s="30" t="str">
        <f>VLOOKUP($M33,Pflanzenkatalog!$A$2:$AB$632,11,FALSE)</f>
        <v>Juni</v>
      </c>
      <c r="X33" s="30" t="str">
        <f>VLOOKUP($M33,Pflanzenkatalog!$A$2:$AB$632,12,FALSE)</f>
        <v>150 x 150 cm, Rankhilfe erforderlich</v>
      </c>
      <c r="Y33" s="30" t="str">
        <f>VLOOKUP($M33,Pflanzenkatalog!$A$2:$AB$632,13,FALSE)</f>
        <v>Plantura</v>
      </c>
      <c r="Z33" s="30" t="str">
        <f>VLOOKUP($M33,Pflanzenkatalog!$A$2:$AB$632,14,FALSE)</f>
        <v>Salat</v>
      </c>
      <c r="AA33" s="30">
        <f>VLOOKUP($M33,Pflanzenkatalog!$A$2:$AB$632,15,FALSE)</f>
        <v>0</v>
      </c>
      <c r="AB33" s="30" t="str">
        <f>VLOOKUP($M33,Pflanzenkatalog!$A$2:$AB$632,16,FALSE)</f>
        <v>Zucchini, Kürbisse, rauben zuviel Platz, Tomaten und Paprika wegen der Schädlinge nicht zu Auberginen setzen</v>
      </c>
      <c r="AC33" s="30" t="str">
        <f>VLOOKUP($M33,Pflanzenkatalog!$A$2:$AB$632,17,FALSE)</f>
        <v>Auberginen lieben einen nährstoffreichen Boden. Es sollte deshalb am besten vor dem Auspflanzen reifer Kompost oder ein Langzeitdünger eingearbeitet werden, ein geschützter, sonniger Standort an einer Südwand ist ideal. Anbaupause von etwa vier Jahren.</v>
      </c>
      <c r="AD33" s="30">
        <f>VLOOKUP($M33,Pflanzenkatalog!$A$2:$AB$632,18,FALSE)</f>
        <v>0</v>
      </c>
      <c r="AE33" s="30">
        <f>VLOOKUP($M33,Pflanzenkatalog!$A$2:$AB$632,19,FALSE)</f>
        <v>0</v>
      </c>
      <c r="AF33" s="30" t="str">
        <f>VLOOKUP($M33,Pflanzenkatalog!$A$2:$AB$632,20,FALSE)</f>
        <v>Frucht</v>
      </c>
    </row>
    <row r="34" spans="1:32" x14ac:dyDescent="0.2">
      <c r="A34" s="4" t="s">
        <v>149</v>
      </c>
      <c r="B34" s="30" t="s">
        <v>4</v>
      </c>
      <c r="C34" s="30" t="s">
        <v>5</v>
      </c>
      <c r="D34" s="30" t="s">
        <v>7</v>
      </c>
      <c r="E34" s="30" t="s">
        <v>139</v>
      </c>
      <c r="F34" s="30">
        <v>4</v>
      </c>
      <c r="G34" s="30" t="s">
        <v>16</v>
      </c>
      <c r="H34" s="30" t="s">
        <v>20</v>
      </c>
      <c r="I34" s="30" t="s">
        <v>152</v>
      </c>
      <c r="J34" s="30" t="s">
        <v>28</v>
      </c>
      <c r="K34" s="30" t="s">
        <v>146</v>
      </c>
      <c r="L34" s="31">
        <v>6</v>
      </c>
      <c r="M34" s="28">
        <v>20</v>
      </c>
      <c r="N34" s="4" t="str">
        <f>VLOOKUP($M34,Pflanzenkatalog!$A$2:$AB$632,2,FALSE)</f>
        <v>Pflücksalat weiß</v>
      </c>
      <c r="O34" s="30" t="str">
        <f>VLOOKUP($M34,Pflanzenkatalog!$A$2:$AB$632,3,FALSE)</f>
        <v>01.02.</v>
      </c>
      <c r="P34" s="30" t="str">
        <f>VLOOKUP($M34,Pflanzenkatalog!$A$2:$AB$632,4,FALSE)</f>
        <v>15</v>
      </c>
      <c r="Q34" s="30">
        <f>VLOOKUP($M34,Pflanzenkatalog!$A$2:$AB$632,5,FALSE)</f>
        <v>0</v>
      </c>
      <c r="R34" s="30" t="str">
        <f>VLOOKUP($M34,Pflanzenkatalog!$A$2:$AB$632,6,FALSE)</f>
        <v>0,2</v>
      </c>
      <c r="S34" s="30">
        <f>VLOOKUP($M34,Pflanzenkatalog!$A$2:$AB$632,7,FALSE)</f>
        <v>0</v>
      </c>
      <c r="T34" s="30" t="str">
        <f>VLOOKUP($M34,Pflanzenkatalog!$A$2:$AB$632,8,FALSE)</f>
        <v>01.03.-30.09.</v>
      </c>
      <c r="U34" s="30">
        <f>VLOOKUP($M34,Pflanzenkatalog!$A$2:$AB$632,9,FALSE)</f>
        <v>15</v>
      </c>
      <c r="V34" s="30">
        <f>VLOOKUP($M34,Pflanzenkatalog!$A$2:$AB$632,10,FALSE)</f>
        <v>15</v>
      </c>
      <c r="W34" s="30" t="str">
        <f>VLOOKUP($M34,Pflanzenkatalog!$A$2:$AB$632,11,FALSE)</f>
        <v>Mai</v>
      </c>
      <c r="X34" s="30" t="str">
        <f>VLOOKUP($M34,Pflanzenkatalog!$A$2:$AB$632,12,FALSE)</f>
        <v>als Pflücksalat  wird ein Abstand von 25 x 25 cm empfohlen</v>
      </c>
      <c r="Y34" s="30" t="str">
        <f>VLOOKUP($M34,Pflanzenkatalog!$A$2:$AB$632,13,FALSE)</f>
        <v>Austrosaat</v>
      </c>
      <c r="Z34" s="30" t="str">
        <f>VLOOKUP($M34,Pflanzenkatalog!$A$2:$AB$632,14,FALSE)</f>
        <v>Bohnen, Dill, Erbsen, Erdbeeren, Gurken, Kohl, Lauch, Möhren, Tomaten, Zwiebeln</v>
      </c>
      <c r="AA34" s="30" t="str">
        <f>VLOOKUP($M34,Pflanzenkatalog!$A$2:$AB$632,15,FALSE)</f>
        <v>Kerbel, gegen Läuse</v>
      </c>
      <c r="AB34" s="30" t="str">
        <f>VLOOKUP($M34,Pflanzenkatalog!$A$2:$AB$632,16,FALSE)</f>
        <v>Petersilie, Sellerie</v>
      </c>
      <c r="AC34" s="30">
        <f>VLOOKUP($M34,Pflanzenkatalog!$A$2:$AB$632,17,FALSE)</f>
        <v>0</v>
      </c>
      <c r="AD34" s="30" t="str">
        <f>VLOOKUP($M34,Pflanzenkatalog!$A$2:$AB$632,18,FALSE)</f>
        <v>Ein schnellwüchsiger Schnitt- oder Pflücksalat mit eichblattförmigen, zarten rötlichen Blättern und lockerem Kopf.</v>
      </c>
      <c r="AE34" s="30">
        <f>VLOOKUP($M34,Pflanzenkatalog!$A$2:$AB$632,19,FALSE)</f>
        <v>0</v>
      </c>
      <c r="AF34" s="30" t="str">
        <f>VLOOKUP($M34,Pflanzenkatalog!$A$2:$AB$632,20,FALSE)</f>
        <v>Blatt</v>
      </c>
    </row>
    <row r="35" spans="1:32" x14ac:dyDescent="0.2">
      <c r="A35" s="4" t="s">
        <v>150</v>
      </c>
      <c r="B35" s="30" t="s">
        <v>4</v>
      </c>
      <c r="C35" s="30" t="s">
        <v>5</v>
      </c>
      <c r="D35" s="30" t="s">
        <v>7</v>
      </c>
      <c r="E35" s="30" t="s">
        <v>139</v>
      </c>
      <c r="F35" s="30">
        <v>4</v>
      </c>
      <c r="G35" s="30" t="s">
        <v>16</v>
      </c>
      <c r="H35" s="30" t="s">
        <v>144</v>
      </c>
      <c r="I35" s="30" t="s">
        <v>152</v>
      </c>
      <c r="J35" s="30" t="s">
        <v>28</v>
      </c>
      <c r="K35" s="30" t="s">
        <v>146</v>
      </c>
      <c r="L35" s="31">
        <v>6</v>
      </c>
      <c r="M35" s="28">
        <v>12</v>
      </c>
      <c r="N35" s="4" t="str">
        <f>VLOOKUP($M35,Pflanzenkatalog!$A$2:$AB$632,2,FALSE)</f>
        <v>Pflücksalat Red Salat Bowl</v>
      </c>
      <c r="O35" s="30" t="str">
        <f>VLOOKUP($M35,Pflanzenkatalog!$A$2:$AB$632,3,FALSE)</f>
        <v>01.02.</v>
      </c>
      <c r="P35" s="30" t="str">
        <f>VLOOKUP($M35,Pflanzenkatalog!$A$2:$AB$632,4,FALSE)</f>
        <v>15</v>
      </c>
      <c r="Q35" s="30">
        <f>VLOOKUP($M35,Pflanzenkatalog!$A$2:$AB$632,5,FALSE)</f>
        <v>0</v>
      </c>
      <c r="R35" s="30" t="str">
        <f>VLOOKUP($M35,Pflanzenkatalog!$A$2:$AB$632,6,FALSE)</f>
        <v>0,2</v>
      </c>
      <c r="S35" s="30">
        <f>VLOOKUP($M35,Pflanzenkatalog!$A$2:$AB$632,7,FALSE)</f>
        <v>0</v>
      </c>
      <c r="T35" s="30" t="str">
        <f>VLOOKUP($M35,Pflanzenkatalog!$A$2:$AB$632,8,FALSE)</f>
        <v>01.03.-30.09.</v>
      </c>
      <c r="U35" s="30">
        <f>VLOOKUP($M35,Pflanzenkatalog!$A$2:$AB$632,9,FALSE)</f>
        <v>15</v>
      </c>
      <c r="V35" s="30">
        <f>VLOOKUP($M35,Pflanzenkatalog!$A$2:$AB$632,10,FALSE)</f>
        <v>15</v>
      </c>
      <c r="W35" s="30" t="str">
        <f>VLOOKUP($M35,Pflanzenkatalog!$A$2:$AB$632,11,FALSE)</f>
        <v>Mai</v>
      </c>
      <c r="X35" s="30" t="str">
        <f>VLOOKUP($M35,Pflanzenkatalog!$A$2:$AB$632,12,FALSE)</f>
        <v>als Pflücksalat  wird ein Abstand von 25 x 25 cm empfohlen</v>
      </c>
      <c r="Y35" s="30" t="str">
        <f>VLOOKUP($M35,Pflanzenkatalog!$A$2:$AB$632,13,FALSE)</f>
        <v>Austrosaat</v>
      </c>
      <c r="Z35" s="30" t="str">
        <f>VLOOKUP($M35,Pflanzenkatalog!$A$2:$AB$632,14,FALSE)</f>
        <v>Bohnen, Dill, Erbsen, Erdbeeren, Gurken, Kohl, Lauch, Möhren, Tomaten, Zwiebeln</v>
      </c>
      <c r="AA35" s="30" t="str">
        <f>VLOOKUP($M35,Pflanzenkatalog!$A$2:$AB$632,15,FALSE)</f>
        <v>Kerbel, gegen Läuse</v>
      </c>
      <c r="AB35" s="30" t="str">
        <f>VLOOKUP($M35,Pflanzenkatalog!$A$2:$AB$632,16,FALSE)</f>
        <v>Petersilie, Sellerie</v>
      </c>
      <c r="AC35" s="30">
        <f>VLOOKUP($M35,Pflanzenkatalog!$A$2:$AB$632,17,FALSE)</f>
        <v>0</v>
      </c>
      <c r="AD35" s="30" t="str">
        <f>VLOOKUP($M35,Pflanzenkatalog!$A$2:$AB$632,18,FALSE)</f>
        <v>Ein schnellwüchsiger Schnitt- oder Pflücksalat mit eichblattförmigen, zarten rötlichen Blättern und lockerem Kopf.</v>
      </c>
      <c r="AE35" s="30">
        <f>VLOOKUP($M35,Pflanzenkatalog!$A$2:$AB$632,19,FALSE)</f>
        <v>0</v>
      </c>
      <c r="AF35" s="30" t="str">
        <f>VLOOKUP($M35,Pflanzenkatalog!$A$2:$AB$632,20,FALSE)</f>
        <v>Blatt</v>
      </c>
    </row>
    <row r="36" spans="1:32" x14ac:dyDescent="0.2">
      <c r="A36" s="4" t="s">
        <v>140</v>
      </c>
      <c r="B36" s="30" t="s">
        <v>4</v>
      </c>
      <c r="C36" s="30" t="s">
        <v>5</v>
      </c>
      <c r="D36" s="30" t="s">
        <v>7</v>
      </c>
      <c r="E36" s="30" t="s">
        <v>139</v>
      </c>
      <c r="F36" s="30">
        <v>4</v>
      </c>
      <c r="G36" s="30" t="s">
        <v>27</v>
      </c>
      <c r="H36" s="30" t="s">
        <v>19</v>
      </c>
      <c r="I36" s="30" t="s">
        <v>151</v>
      </c>
      <c r="J36" s="30" t="s">
        <v>43</v>
      </c>
      <c r="K36" s="30" t="s">
        <v>146</v>
      </c>
      <c r="L36" s="31">
        <v>1</v>
      </c>
      <c r="M36" s="28">
        <v>49</v>
      </c>
      <c r="N36" s="4" t="str">
        <f>VLOOKUP($M36,Pflanzenkatalog!$A$2:$AB$632,2,FALSE)</f>
        <v>Paradeiser Ochsenherz Tschernij Prinz</v>
      </c>
      <c r="O36" s="30" t="str">
        <f>VLOOKUP($M36,Pflanzenkatalog!$A$2:$AB$632,3,FALSE)</f>
        <v>01.02-31.03.</v>
      </c>
      <c r="P36" s="30" t="str">
        <f>VLOOKUP($M36,Pflanzenkatalog!$A$2:$AB$632,4,FALSE)</f>
        <v>20-25</v>
      </c>
      <c r="Q36" s="30" t="str">
        <f>VLOOKUP($M36,Pflanzenkatalog!$A$2:$AB$632,5,FALSE)</f>
        <v>8-10</v>
      </c>
      <c r="R36" s="30" t="str">
        <f>VLOOKUP($M36,Pflanzenkatalog!$A$2:$AB$632,6,FALSE)</f>
        <v>0,5-1</v>
      </c>
      <c r="S36" s="30" t="str">
        <f>VLOOKUP($M36,Pflanzenkatalog!$A$2:$AB$632,7,FALSE)</f>
        <v>15.04.-15.05.</v>
      </c>
      <c r="T36" s="30" t="str">
        <f>VLOOKUP($M36,Pflanzenkatalog!$A$2:$AB$632,8,FALSE)</f>
        <v>15.05-31.05.</v>
      </c>
      <c r="U36" s="30">
        <f>VLOOKUP($M36,Pflanzenkatalog!$A$2:$AB$632,9,FALSE)</f>
        <v>50</v>
      </c>
      <c r="V36" s="30">
        <f>VLOOKUP($M36,Pflanzenkatalog!$A$2:$AB$632,10,FALSE)</f>
        <v>60</v>
      </c>
      <c r="W36" s="30" t="str">
        <f>VLOOKUP($M36,Pflanzenkatalog!$A$2:$AB$632,11,FALSE)</f>
        <v>Juli</v>
      </c>
      <c r="X36" s="30" t="str">
        <f>VLOOKUP($M36,Pflanzenkatalog!$A$2:$AB$632,12,FALSE)</f>
        <v>Stabtomate</v>
      </c>
      <c r="Y36" s="30" t="str">
        <f>VLOOKUP($M36,Pflanzenkatalog!$A$2:$AB$632,13,FALSE)</f>
        <v>REINSAAT</v>
      </c>
      <c r="Z36" s="30" t="str">
        <f>VLOOKUP($M36,Pflanzenkatalog!$A$2:$AB$632,14,FALSE)</f>
        <v xml:space="preserve">	Buschbohne, Knoblauch, Kohl, Kohlrabi</v>
      </c>
      <c r="AA36" s="30" t="str">
        <f>VLOOKUP($M36,Pflanzenkatalog!$A$2:$AB$632,15,FALSE)</f>
        <v>Basilikum, gegen Mehltau und weiße Fliege
Tagetes, gegen Nematoden, Viren und weiße Fliege</v>
      </c>
      <c r="AB36" s="30" t="str">
        <f>VLOOKUP($M36,Pflanzenkatalog!$A$2:$AB$632,16,FALSE)</f>
        <v>Erbse, Fenchel, Kartoffeln</v>
      </c>
      <c r="AC36" s="30">
        <f>VLOOKUP($M36,Pflanzenkatalog!$A$2:$AB$632,17,FALSE)</f>
        <v>0</v>
      </c>
      <c r="AD36" s="30" t="str">
        <f>VLOOKUP($M36,Pflanzenkatalog!$A$2:$AB$632,18,FALSE)</f>
        <v>Halbdeterminante Fleischtomate aus der EHZ von ReinSaat. Die braunroten, flachrunden Früchte sind von herausragend gutem Geschmack. Mehrkammerige, fleischige und sehr saftige Früchte mit einem Fruchtgewicht von ca. 200 – 300 g. Früh einsetzende Ernte. Sehr beliebte Hausgärtnersorte.</v>
      </c>
      <c r="AE36" s="30">
        <f>VLOOKUP($M36,Pflanzenkatalog!$A$2:$AB$632,19,FALSE)</f>
        <v>0</v>
      </c>
      <c r="AF36" s="30" t="str">
        <f>VLOOKUP($M36,Pflanzenkatalog!$A$2:$AB$632,20,FALSE)</f>
        <v>Frucht</v>
      </c>
    </row>
    <row r="37" spans="1:32" x14ac:dyDescent="0.2">
      <c r="A37" s="4" t="s">
        <v>140</v>
      </c>
      <c r="B37" s="30" t="s">
        <v>4</v>
      </c>
      <c r="C37" s="30" t="s">
        <v>5</v>
      </c>
      <c r="D37" s="30" t="s">
        <v>7</v>
      </c>
      <c r="E37" s="30" t="s">
        <v>139</v>
      </c>
      <c r="F37" s="30">
        <v>4</v>
      </c>
      <c r="G37" s="30" t="s">
        <v>27</v>
      </c>
      <c r="H37" s="30" t="s">
        <v>19</v>
      </c>
      <c r="I37" s="30" t="s">
        <v>151</v>
      </c>
      <c r="J37" s="30" t="s">
        <v>43</v>
      </c>
      <c r="K37" s="30" t="s">
        <v>146</v>
      </c>
      <c r="L37" s="31">
        <v>1</v>
      </c>
      <c r="M37" s="28">
        <v>2</v>
      </c>
      <c r="N37" s="4" t="str">
        <f>VLOOKUP($M37,Pflanzenkatalog!$A$2:$AB$632,2,FALSE)</f>
        <v>Salatparadeiser Quedlinburger Frühe Liebe</v>
      </c>
      <c r="O37" s="30" t="str">
        <f>VLOOKUP($M37,Pflanzenkatalog!$A$2:$AB$632,3,FALSE)</f>
        <v>15.03-15.04</v>
      </c>
      <c r="P37" s="30" t="str">
        <f>VLOOKUP($M37,Pflanzenkatalog!$A$2:$AB$632,4,FALSE)</f>
        <v>20-25</v>
      </c>
      <c r="Q37" s="30" t="str">
        <f>VLOOKUP($M37,Pflanzenkatalog!$A$2:$AB$632,5,FALSE)</f>
        <v>8-10</v>
      </c>
      <c r="R37" s="30" t="str">
        <f>VLOOKUP($M37,Pflanzenkatalog!$A$2:$AB$632,6,FALSE)</f>
        <v>Licht</v>
      </c>
      <c r="S37" s="30" t="str">
        <f>VLOOKUP($M37,Pflanzenkatalog!$A$2:$AB$632,7,FALSE)</f>
        <v>15.05-31.05.</v>
      </c>
      <c r="T37" s="30" t="str">
        <f>VLOOKUP($M37,Pflanzenkatalog!$A$2:$AB$632,8,FALSE)</f>
        <v>nein</v>
      </c>
      <c r="U37" s="30">
        <f>VLOOKUP($M37,Pflanzenkatalog!$A$2:$AB$632,9,FALSE)</f>
        <v>50</v>
      </c>
      <c r="V37" s="30">
        <f>VLOOKUP($M37,Pflanzenkatalog!$A$2:$AB$632,10,FALSE)</f>
        <v>80</v>
      </c>
      <c r="W37" s="30" t="str">
        <f>VLOOKUP($M37,Pflanzenkatalog!$A$2:$AB$632,11,FALSE)</f>
        <v>Juli</v>
      </c>
      <c r="X37" s="30" t="str">
        <f>VLOOKUP($M37,Pflanzenkatalog!$A$2:$AB$632,12,FALSE)</f>
        <v>Stabtomate wächst bis 1,2 m hoch und hat kartoffelblättriges lockeres Laub</v>
      </c>
      <c r="Y37" s="30" t="str">
        <f>VLOOKUP($M37,Pflanzenkatalog!$A$2:$AB$632,13,FALSE)</f>
        <v>Arche Noah</v>
      </c>
      <c r="Z37" s="30" t="str">
        <f>VLOOKUP($M37,Pflanzenkatalog!$A$2:$AB$632,14,FALSE)</f>
        <v xml:space="preserve">	Buschbohne, Knoblauch, Kohl, Kohlrabi</v>
      </c>
      <c r="AA37" s="30" t="str">
        <f>VLOOKUP($M37,Pflanzenkatalog!$A$2:$AB$632,15,FALSE)</f>
        <v>Basilikum, gegen Mehltau und weiße Fliege
Tagetes, gegen Nematoden, Viren und weiße Fliege</v>
      </c>
      <c r="AB37" s="30" t="str">
        <f>VLOOKUP($M37,Pflanzenkatalog!$A$2:$AB$632,16,FALSE)</f>
        <v>Erbse, Fenchel, Kartoffeln</v>
      </c>
      <c r="AC37" s="30" t="str">
        <f>VLOOKUP($M37,Pflanzenkatalog!$A$2:$AB$632,17,FALSE)</f>
        <v>nicht ausgeizen, Mulchen, warm, Schutz vor Regen, mäßig von unten gießen</v>
      </c>
      <c r="AD37" s="30" t="str">
        <f>VLOOKUP($M37,Pflanzenkatalog!$A$2:$AB$632,18,FALSE)</f>
        <v>Im Salat kommt der süß-aromatische Geschmack hervorragend zur Geltung. Extrem frühreifend ist die Sorte auch für rauhere Lagen empfehlenswert.
Die roten, runden, ca. 4 cm großen Früchte kann man die ganze Saison über ernten.</v>
      </c>
      <c r="AE37" s="30">
        <f>VLOOKUP($M37,Pflanzenkatalog!$A$2:$AB$632,19,FALSE)</f>
        <v>0</v>
      </c>
      <c r="AF37" s="30" t="str">
        <f>VLOOKUP($M37,Pflanzenkatalog!$A$2:$AB$632,20,FALSE)</f>
        <v>Frucht</v>
      </c>
    </row>
    <row r="38" spans="1:32" x14ac:dyDescent="0.2">
      <c r="A38" s="4" t="s">
        <v>142</v>
      </c>
      <c r="B38" s="30" t="s">
        <v>4</v>
      </c>
      <c r="C38" s="30" t="s">
        <v>5</v>
      </c>
      <c r="D38" s="30" t="s">
        <v>7</v>
      </c>
      <c r="E38" s="30" t="s">
        <v>139</v>
      </c>
      <c r="F38" s="30">
        <v>4</v>
      </c>
      <c r="G38" s="30" t="s">
        <v>27</v>
      </c>
      <c r="H38" s="30" t="s">
        <v>20</v>
      </c>
      <c r="I38" s="30" t="s">
        <v>525</v>
      </c>
      <c r="J38" s="30" t="s">
        <v>28</v>
      </c>
      <c r="K38" s="30" t="s">
        <v>146</v>
      </c>
      <c r="M38" s="28" t="s">
        <v>39</v>
      </c>
      <c r="N38" s="4" t="str">
        <f>VLOOKUP($M38,Pflanzenkatalog!$A$2:$AB$632,2,FALSE)</f>
        <v>Lagerfläche</v>
      </c>
      <c r="O38" s="30">
        <f>VLOOKUP($M38,Pflanzenkatalog!$A$2:$AB$632,3,FALSE)</f>
        <v>0</v>
      </c>
      <c r="P38" s="30">
        <f>VLOOKUP($M38,Pflanzenkatalog!$A$2:$AB$632,4,FALSE)</f>
        <v>0</v>
      </c>
      <c r="Q38" s="30">
        <f>VLOOKUP($M38,Pflanzenkatalog!$A$2:$AB$632,5,FALSE)</f>
        <v>0</v>
      </c>
      <c r="R38" s="30">
        <f>VLOOKUP($M38,Pflanzenkatalog!$A$2:$AB$632,6,FALSE)</f>
        <v>0</v>
      </c>
      <c r="S38" s="30">
        <f>VLOOKUP($M38,Pflanzenkatalog!$A$2:$AB$632,7,FALSE)</f>
        <v>0</v>
      </c>
      <c r="T38" s="30">
        <f>VLOOKUP($M38,Pflanzenkatalog!$A$2:$AB$632,8,FALSE)</f>
        <v>0</v>
      </c>
      <c r="U38" s="30">
        <f>VLOOKUP($M38,Pflanzenkatalog!$A$2:$AB$632,9,FALSE)</f>
        <v>0</v>
      </c>
      <c r="V38" s="30">
        <f>VLOOKUP($M38,Pflanzenkatalog!$A$2:$AB$632,10,FALSE)</f>
        <v>0</v>
      </c>
      <c r="W38" s="30">
        <f>VLOOKUP($M38,Pflanzenkatalog!$A$2:$AB$632,11,FALSE)</f>
        <v>0</v>
      </c>
      <c r="X38" s="30">
        <f>VLOOKUP($M38,Pflanzenkatalog!$A$2:$AB$632,12,FALSE)</f>
        <v>0</v>
      </c>
      <c r="Y38" s="30">
        <f>VLOOKUP($M38,Pflanzenkatalog!$A$2:$AB$632,13,FALSE)</f>
        <v>0</v>
      </c>
      <c r="Z38" s="30">
        <f>VLOOKUP($M38,Pflanzenkatalog!$A$2:$AB$632,14,FALSE)</f>
        <v>0</v>
      </c>
      <c r="AA38" s="30">
        <f>VLOOKUP($M38,Pflanzenkatalog!$A$2:$AB$632,15,FALSE)</f>
        <v>0</v>
      </c>
      <c r="AB38" s="30">
        <f>VLOOKUP($M38,Pflanzenkatalog!$A$2:$AB$632,16,FALSE)</f>
        <v>0</v>
      </c>
      <c r="AC38" s="30">
        <f>VLOOKUP($M38,Pflanzenkatalog!$A$2:$AB$632,17,FALSE)</f>
        <v>0</v>
      </c>
      <c r="AD38" s="30">
        <f>VLOOKUP($M38,Pflanzenkatalog!$A$2:$AB$632,18,FALSE)</f>
        <v>0</v>
      </c>
      <c r="AE38" s="30">
        <f>VLOOKUP($M38,Pflanzenkatalog!$A$2:$AB$632,19,FALSE)</f>
        <v>0</v>
      </c>
      <c r="AF38" s="30">
        <f>VLOOKUP($M38,Pflanzenkatalog!$A$2:$AB$632,20,FALSE)</f>
        <v>0</v>
      </c>
    </row>
    <row r="39" spans="1:32" x14ac:dyDescent="0.2">
      <c r="A39" s="4" t="s">
        <v>143</v>
      </c>
      <c r="B39" s="30" t="s">
        <v>4</v>
      </c>
      <c r="C39" s="30" t="s">
        <v>5</v>
      </c>
      <c r="D39" s="30" t="s">
        <v>7</v>
      </c>
      <c r="E39" s="30" t="s">
        <v>139</v>
      </c>
      <c r="F39" s="30">
        <v>4</v>
      </c>
      <c r="G39" s="30" t="s">
        <v>27</v>
      </c>
      <c r="H39" s="30" t="s">
        <v>144</v>
      </c>
      <c r="I39" s="30" t="s">
        <v>151</v>
      </c>
      <c r="J39" s="30" t="s">
        <v>43</v>
      </c>
      <c r="K39" s="30" t="s">
        <v>146</v>
      </c>
      <c r="L39" s="31">
        <v>1</v>
      </c>
      <c r="M39" s="28">
        <v>48</v>
      </c>
      <c r="N39" s="4" t="str">
        <f>VLOOKUP($M39,Pflanzenkatalog!$A$2:$AB$632,2,FALSE)</f>
        <v>Salatparadeiser gestreift SPAR</v>
      </c>
      <c r="O39" s="30" t="str">
        <f>VLOOKUP($M39,Pflanzenkatalog!$A$2:$AB$632,3,FALSE)</f>
        <v>15.03-15.04.</v>
      </c>
      <c r="P39" s="30" t="str">
        <f>VLOOKUP($M39,Pflanzenkatalog!$A$2:$AB$632,4,FALSE)</f>
        <v>20-25</v>
      </c>
      <c r="Q39" s="30" t="str">
        <f>VLOOKUP($M39,Pflanzenkatalog!$A$2:$AB$632,5,FALSE)</f>
        <v>8-10</v>
      </c>
      <c r="R39" s="30" t="str">
        <f>VLOOKUP($M39,Pflanzenkatalog!$A$2:$AB$632,6,FALSE)</f>
        <v>Licht</v>
      </c>
      <c r="S39" s="30" t="str">
        <f>VLOOKUP($M39,Pflanzenkatalog!$A$2:$AB$632,7,FALSE)</f>
        <v>15.05-31.05.</v>
      </c>
      <c r="T39" s="30" t="str">
        <f>VLOOKUP($M39,Pflanzenkatalog!$A$2:$AB$632,8,FALSE)</f>
        <v>nein</v>
      </c>
      <c r="U39" s="30">
        <f>VLOOKUP($M39,Pflanzenkatalog!$A$2:$AB$632,9,FALSE)</f>
        <v>50</v>
      </c>
      <c r="V39" s="30">
        <f>VLOOKUP($M39,Pflanzenkatalog!$A$2:$AB$632,10,FALSE)</f>
        <v>80</v>
      </c>
      <c r="W39" s="30" t="str">
        <f>VLOOKUP($M39,Pflanzenkatalog!$A$2:$AB$632,11,FALSE)</f>
        <v>Juli</v>
      </c>
      <c r="X39" s="30" t="str">
        <f>VLOOKUP($M39,Pflanzenkatalog!$A$2:$AB$632,12,FALSE)</f>
        <v>Stabtomate</v>
      </c>
      <c r="Y39" s="30" t="str">
        <f>VLOOKUP($M39,Pflanzenkatalog!$A$2:$AB$632,13,FALSE)</f>
        <v>SPAR Bio</v>
      </c>
      <c r="Z39" s="30" t="str">
        <f>VLOOKUP($M39,Pflanzenkatalog!$A$2:$AB$632,14,FALSE)</f>
        <v xml:space="preserve">	Buschbohne, Knoblauch, Kohl, Kohlrabi</v>
      </c>
      <c r="AA39" s="30" t="str">
        <f>VLOOKUP($M39,Pflanzenkatalog!$A$2:$AB$632,15,FALSE)</f>
        <v>Basilikum, gegen Mehltau und weiße Fliege
Tagetes, gegen Nematoden, Viren und weiße Fliege</v>
      </c>
      <c r="AB39" s="30" t="str">
        <f>VLOOKUP($M39,Pflanzenkatalog!$A$2:$AB$632,16,FALSE)</f>
        <v>Erbse, Fenchel, Kartoffeln</v>
      </c>
      <c r="AC39" s="30">
        <f>VLOOKUP($M39,Pflanzenkatalog!$A$2:$AB$632,17,FALSE)</f>
        <v>0</v>
      </c>
      <c r="AD39" s="30" t="str">
        <f>VLOOKUP($M39,Pflanzenkatalog!$A$2:$AB$632,18,FALSE)</f>
        <v>Im Salat kommt der süß-aromatische Geschmack hervorragend zur Geltung. Extrem frühreifend ist die Sorte auch für rauhere Lagen empfehlenswert.
Die roten, runden, ca. 4 cm großen Früchte kann man die ganze Saison über ernten.</v>
      </c>
      <c r="AE39" s="30">
        <f>VLOOKUP($M39,Pflanzenkatalog!$A$2:$AB$632,19,FALSE)</f>
        <v>0</v>
      </c>
      <c r="AF39" s="30" t="str">
        <f>VLOOKUP($M39,Pflanzenkatalog!$A$2:$AB$632,20,FALSE)</f>
        <v>Frucht</v>
      </c>
    </row>
    <row r="40" spans="1:32" x14ac:dyDescent="0.2">
      <c r="A40" s="4" t="s">
        <v>143</v>
      </c>
      <c r="B40" s="30" t="s">
        <v>4</v>
      </c>
      <c r="C40" s="30" t="s">
        <v>5</v>
      </c>
      <c r="D40" s="30" t="s">
        <v>7</v>
      </c>
      <c r="E40" s="30" t="s">
        <v>139</v>
      </c>
      <c r="F40" s="30">
        <v>4</v>
      </c>
      <c r="G40" s="30" t="s">
        <v>27</v>
      </c>
      <c r="H40" s="30" t="s">
        <v>144</v>
      </c>
      <c r="I40" s="30" t="s">
        <v>151</v>
      </c>
      <c r="J40" s="30" t="s">
        <v>43</v>
      </c>
      <c r="K40" s="30" t="s">
        <v>146</v>
      </c>
      <c r="L40" s="31">
        <v>1</v>
      </c>
      <c r="M40" s="28">
        <v>2</v>
      </c>
      <c r="N40" s="4" t="str">
        <f>VLOOKUP($M40,Pflanzenkatalog!$A$2:$AB$632,2,FALSE)</f>
        <v>Salatparadeiser Quedlinburger Frühe Liebe</v>
      </c>
      <c r="O40" s="30" t="str">
        <f>VLOOKUP($M40,Pflanzenkatalog!$A$2:$AB$632,3,FALSE)</f>
        <v>15.03-15.04</v>
      </c>
      <c r="P40" s="30" t="str">
        <f>VLOOKUP($M40,Pflanzenkatalog!$A$2:$AB$632,4,FALSE)</f>
        <v>20-25</v>
      </c>
      <c r="Q40" s="30" t="str">
        <f>VLOOKUP($M40,Pflanzenkatalog!$A$2:$AB$632,5,FALSE)</f>
        <v>8-10</v>
      </c>
      <c r="R40" s="30" t="str">
        <f>VLOOKUP($M40,Pflanzenkatalog!$A$2:$AB$632,6,FALSE)</f>
        <v>Licht</v>
      </c>
      <c r="S40" s="30" t="str">
        <f>VLOOKUP($M40,Pflanzenkatalog!$A$2:$AB$632,7,FALSE)</f>
        <v>15.05-31.05.</v>
      </c>
      <c r="T40" s="30" t="str">
        <f>VLOOKUP($M40,Pflanzenkatalog!$A$2:$AB$632,8,FALSE)</f>
        <v>nein</v>
      </c>
      <c r="U40" s="30">
        <f>VLOOKUP($M40,Pflanzenkatalog!$A$2:$AB$632,9,FALSE)</f>
        <v>50</v>
      </c>
      <c r="V40" s="30">
        <f>VLOOKUP($M40,Pflanzenkatalog!$A$2:$AB$632,10,FALSE)</f>
        <v>80</v>
      </c>
      <c r="W40" s="30" t="str">
        <f>VLOOKUP($M40,Pflanzenkatalog!$A$2:$AB$632,11,FALSE)</f>
        <v>Juli</v>
      </c>
      <c r="X40" s="30" t="str">
        <f>VLOOKUP($M40,Pflanzenkatalog!$A$2:$AB$632,12,FALSE)</f>
        <v>Stabtomate wächst bis 1,2 m hoch und hat kartoffelblättriges lockeres Laub</v>
      </c>
      <c r="Y40" s="30" t="str">
        <f>VLOOKUP($M40,Pflanzenkatalog!$A$2:$AB$632,13,FALSE)</f>
        <v>Arche Noah</v>
      </c>
      <c r="Z40" s="30" t="str">
        <f>VLOOKUP($M40,Pflanzenkatalog!$A$2:$AB$632,14,FALSE)</f>
        <v xml:space="preserve">	Buschbohne, Knoblauch, Kohl, Kohlrabi</v>
      </c>
      <c r="AA40" s="30" t="str">
        <f>VLOOKUP($M40,Pflanzenkatalog!$A$2:$AB$632,15,FALSE)</f>
        <v>Basilikum, gegen Mehltau und weiße Fliege
Tagetes, gegen Nematoden, Viren und weiße Fliege</v>
      </c>
      <c r="AB40" s="30" t="str">
        <f>VLOOKUP($M40,Pflanzenkatalog!$A$2:$AB$632,16,FALSE)</f>
        <v>Erbse, Fenchel, Kartoffeln</v>
      </c>
      <c r="AC40" s="30" t="str">
        <f>VLOOKUP($M40,Pflanzenkatalog!$A$2:$AB$632,17,FALSE)</f>
        <v>nicht ausgeizen, Mulchen, warm, Schutz vor Regen, mäßig von unten gießen</v>
      </c>
      <c r="AD40" s="30" t="str">
        <f>VLOOKUP($M40,Pflanzenkatalog!$A$2:$AB$632,18,FALSE)</f>
        <v>Im Salat kommt der süß-aromatische Geschmack hervorragend zur Geltung. Extrem frühreifend ist die Sorte auch für rauhere Lagen empfehlenswert.
Die roten, runden, ca. 4 cm großen Früchte kann man die ganze Saison über ernten.</v>
      </c>
      <c r="AE40" s="30">
        <f>VLOOKUP($M40,Pflanzenkatalog!$A$2:$AB$632,19,FALSE)</f>
        <v>0</v>
      </c>
      <c r="AF40" s="30" t="str">
        <f>VLOOKUP($M40,Pflanzenkatalog!$A$2:$AB$632,20,FALSE)</f>
        <v>Frucht</v>
      </c>
    </row>
    <row r="41" spans="1:32" x14ac:dyDescent="0.2">
      <c r="A41" s="4" t="s">
        <v>22</v>
      </c>
      <c r="B41" s="30" t="s">
        <v>4</v>
      </c>
      <c r="C41" s="30" t="s">
        <v>5</v>
      </c>
      <c r="D41" s="30" t="s">
        <v>7</v>
      </c>
      <c r="E41" s="30" t="s">
        <v>13</v>
      </c>
      <c r="F41" s="30">
        <v>5</v>
      </c>
      <c r="G41" s="30" t="s">
        <v>26</v>
      </c>
      <c r="H41" s="30" t="s">
        <v>19</v>
      </c>
      <c r="I41" s="30" t="s">
        <v>423</v>
      </c>
      <c r="J41" s="30" t="s">
        <v>28</v>
      </c>
      <c r="K41" s="30" t="s">
        <v>146</v>
      </c>
      <c r="L41" s="31">
        <v>6</v>
      </c>
      <c r="M41" s="28" t="s">
        <v>39</v>
      </c>
      <c r="N41" s="4" t="str">
        <f>VLOOKUP($M41,Pflanzenkatalog!$A$2:$AB$632,2,FALSE)</f>
        <v>Lagerfläche</v>
      </c>
      <c r="O41" s="30">
        <f>VLOOKUP($M41,Pflanzenkatalog!$A$2:$AB$632,3,FALSE)</f>
        <v>0</v>
      </c>
      <c r="P41" s="30">
        <f>VLOOKUP($M41,Pflanzenkatalog!$A$2:$AB$632,4,FALSE)</f>
        <v>0</v>
      </c>
      <c r="Q41" s="30">
        <f>VLOOKUP($M41,Pflanzenkatalog!$A$2:$AB$632,5,FALSE)</f>
        <v>0</v>
      </c>
      <c r="R41" s="30">
        <f>VLOOKUP($M41,Pflanzenkatalog!$A$2:$AB$632,6,FALSE)</f>
        <v>0</v>
      </c>
      <c r="S41" s="30">
        <f>VLOOKUP($M41,Pflanzenkatalog!$A$2:$AB$632,7,FALSE)</f>
        <v>0</v>
      </c>
      <c r="T41" s="30">
        <f>VLOOKUP($M41,Pflanzenkatalog!$A$2:$AB$632,8,FALSE)</f>
        <v>0</v>
      </c>
      <c r="U41" s="30">
        <f>VLOOKUP($M41,Pflanzenkatalog!$A$2:$AB$632,9,FALSE)</f>
        <v>0</v>
      </c>
      <c r="V41" s="30">
        <f>VLOOKUP($M41,Pflanzenkatalog!$A$2:$AB$632,10,FALSE)</f>
        <v>0</v>
      </c>
      <c r="W41" s="30">
        <f>VLOOKUP($M41,Pflanzenkatalog!$A$2:$AB$632,11,FALSE)</f>
        <v>0</v>
      </c>
      <c r="X41" s="30">
        <f>VLOOKUP($M41,Pflanzenkatalog!$A$2:$AB$632,12,FALSE)</f>
        <v>0</v>
      </c>
      <c r="Y41" s="30">
        <f>VLOOKUP($M41,Pflanzenkatalog!$A$2:$AB$632,13,FALSE)</f>
        <v>0</v>
      </c>
      <c r="Z41" s="30">
        <f>VLOOKUP($M41,Pflanzenkatalog!$A$2:$AB$632,14,FALSE)</f>
        <v>0</v>
      </c>
      <c r="AA41" s="30">
        <f>VLOOKUP($M41,Pflanzenkatalog!$A$2:$AB$632,15,FALSE)</f>
        <v>0</v>
      </c>
      <c r="AB41" s="30">
        <f>VLOOKUP($M41,Pflanzenkatalog!$A$2:$AB$632,16,FALSE)</f>
        <v>0</v>
      </c>
      <c r="AC41" s="30">
        <f>VLOOKUP($M41,Pflanzenkatalog!$A$2:$AB$632,17,FALSE)</f>
        <v>0</v>
      </c>
      <c r="AD41" s="30">
        <f>VLOOKUP($M41,Pflanzenkatalog!$A$2:$AB$632,18,FALSE)</f>
        <v>0</v>
      </c>
      <c r="AE41" s="30">
        <f>VLOOKUP($M41,Pflanzenkatalog!$A$2:$AB$632,19,FALSE)</f>
        <v>0</v>
      </c>
      <c r="AF41" s="30">
        <f>VLOOKUP($M41,Pflanzenkatalog!$A$2:$AB$632,20,FALSE)</f>
        <v>0</v>
      </c>
    </row>
    <row r="42" spans="1:32" x14ac:dyDescent="0.2">
      <c r="A42" s="4" t="s">
        <v>23</v>
      </c>
      <c r="B42" s="30" t="s">
        <v>4</v>
      </c>
      <c r="C42" s="30" t="s">
        <v>5</v>
      </c>
      <c r="D42" s="30" t="s">
        <v>7</v>
      </c>
      <c r="E42" s="30" t="s">
        <v>13</v>
      </c>
      <c r="F42" s="30">
        <v>5</v>
      </c>
      <c r="G42" s="30" t="s">
        <v>26</v>
      </c>
      <c r="H42" s="30" t="s">
        <v>20</v>
      </c>
      <c r="I42" s="30" t="s">
        <v>425</v>
      </c>
      <c r="J42" s="30" t="s">
        <v>28</v>
      </c>
      <c r="K42" s="30" t="s">
        <v>146</v>
      </c>
      <c r="L42" s="31">
        <v>6</v>
      </c>
      <c r="M42" s="28" t="s">
        <v>39</v>
      </c>
      <c r="N42" s="4" t="str">
        <f>VLOOKUP($M42,Pflanzenkatalog!$A$2:$AB$632,2,FALSE)</f>
        <v>Lagerfläche</v>
      </c>
      <c r="O42" s="30">
        <f>VLOOKUP($M42,Pflanzenkatalog!$A$2:$AB$632,3,FALSE)</f>
        <v>0</v>
      </c>
      <c r="P42" s="30">
        <f>VLOOKUP($M42,Pflanzenkatalog!$A$2:$AB$632,4,FALSE)</f>
        <v>0</v>
      </c>
      <c r="Q42" s="30">
        <f>VLOOKUP($M42,Pflanzenkatalog!$A$2:$AB$632,5,FALSE)</f>
        <v>0</v>
      </c>
      <c r="R42" s="30">
        <f>VLOOKUP($M42,Pflanzenkatalog!$A$2:$AB$632,6,FALSE)</f>
        <v>0</v>
      </c>
      <c r="S42" s="30">
        <f>VLOOKUP($M42,Pflanzenkatalog!$A$2:$AB$632,7,FALSE)</f>
        <v>0</v>
      </c>
      <c r="T42" s="30">
        <f>VLOOKUP($M42,Pflanzenkatalog!$A$2:$AB$632,8,FALSE)</f>
        <v>0</v>
      </c>
      <c r="U42" s="30">
        <f>VLOOKUP($M42,Pflanzenkatalog!$A$2:$AB$632,9,FALSE)</f>
        <v>0</v>
      </c>
      <c r="V42" s="30">
        <f>VLOOKUP($M42,Pflanzenkatalog!$A$2:$AB$632,10,FALSE)</f>
        <v>0</v>
      </c>
      <c r="W42" s="30">
        <f>VLOOKUP($M42,Pflanzenkatalog!$A$2:$AB$632,11,FALSE)</f>
        <v>0</v>
      </c>
      <c r="X42" s="30">
        <f>VLOOKUP($M42,Pflanzenkatalog!$A$2:$AB$632,12,FALSE)</f>
        <v>0</v>
      </c>
      <c r="Y42" s="30">
        <f>VLOOKUP($M42,Pflanzenkatalog!$A$2:$AB$632,13,FALSE)</f>
        <v>0</v>
      </c>
      <c r="Z42" s="30">
        <f>VLOOKUP($M42,Pflanzenkatalog!$A$2:$AB$632,14,FALSE)</f>
        <v>0</v>
      </c>
      <c r="AA42" s="30">
        <f>VLOOKUP($M42,Pflanzenkatalog!$A$2:$AB$632,15,FALSE)</f>
        <v>0</v>
      </c>
      <c r="AB42" s="30">
        <f>VLOOKUP($M42,Pflanzenkatalog!$A$2:$AB$632,16,FALSE)</f>
        <v>0</v>
      </c>
      <c r="AC42" s="30">
        <f>VLOOKUP($M42,Pflanzenkatalog!$A$2:$AB$632,17,FALSE)</f>
        <v>0</v>
      </c>
      <c r="AD42" s="30">
        <f>VLOOKUP($M42,Pflanzenkatalog!$A$2:$AB$632,18,FALSE)</f>
        <v>0</v>
      </c>
      <c r="AE42" s="30">
        <f>VLOOKUP($M42,Pflanzenkatalog!$A$2:$AB$632,19,FALSE)</f>
        <v>0</v>
      </c>
      <c r="AF42" s="30">
        <f>VLOOKUP($M42,Pflanzenkatalog!$A$2:$AB$632,20,FALSE)</f>
        <v>0</v>
      </c>
    </row>
    <row r="43" spans="1:32" x14ac:dyDescent="0.2">
      <c r="A43" s="4" t="s">
        <v>14</v>
      </c>
      <c r="B43" s="30" t="s">
        <v>4</v>
      </c>
      <c r="C43" s="30" t="s">
        <v>5</v>
      </c>
      <c r="D43" s="30" t="s">
        <v>7</v>
      </c>
      <c r="E43" s="30" t="s">
        <v>13</v>
      </c>
      <c r="F43" s="30">
        <v>5</v>
      </c>
      <c r="G43" s="30" t="s">
        <v>16</v>
      </c>
      <c r="H43" s="30" t="s">
        <v>19</v>
      </c>
      <c r="I43" s="30" t="s">
        <v>423</v>
      </c>
      <c r="J43" s="30" t="s">
        <v>28</v>
      </c>
      <c r="K43" s="30" t="s">
        <v>29</v>
      </c>
      <c r="M43" s="28" t="s">
        <v>422</v>
      </c>
      <c r="N43" s="4" t="str">
        <f>VLOOKUP($M43,Pflanzenkatalog!$A$2:$AB$632,2,FALSE)</f>
        <v>Elektro</v>
      </c>
      <c r="O43" s="30">
        <f>VLOOKUP($M43,Pflanzenkatalog!$A$2:$AB$632,3,FALSE)</f>
        <v>0</v>
      </c>
      <c r="P43" s="30">
        <f>VLOOKUP($M43,Pflanzenkatalog!$A$2:$AB$632,4,FALSE)</f>
        <v>0</v>
      </c>
      <c r="Q43" s="30">
        <f>VLOOKUP($M43,Pflanzenkatalog!$A$2:$AB$632,5,FALSE)</f>
        <v>0</v>
      </c>
      <c r="R43" s="30">
        <f>VLOOKUP($M43,Pflanzenkatalog!$A$2:$AB$632,6,FALSE)</f>
        <v>0</v>
      </c>
      <c r="S43" s="30">
        <f>VLOOKUP($M43,Pflanzenkatalog!$A$2:$AB$632,7,FALSE)</f>
        <v>0</v>
      </c>
      <c r="T43" s="30">
        <f>VLOOKUP($M43,Pflanzenkatalog!$A$2:$AB$632,8,FALSE)</f>
        <v>0</v>
      </c>
      <c r="U43" s="30">
        <f>VLOOKUP($M43,Pflanzenkatalog!$A$2:$AB$632,9,FALSE)</f>
        <v>0</v>
      </c>
      <c r="V43" s="30">
        <f>VLOOKUP($M43,Pflanzenkatalog!$A$2:$AB$632,10,FALSE)</f>
        <v>0</v>
      </c>
      <c r="W43" s="30">
        <f>VLOOKUP($M43,Pflanzenkatalog!$A$2:$AB$632,11,FALSE)</f>
        <v>0</v>
      </c>
      <c r="X43" s="30">
        <f>VLOOKUP($M43,Pflanzenkatalog!$A$2:$AB$632,12,FALSE)</f>
        <v>0</v>
      </c>
      <c r="Y43" s="30">
        <f>VLOOKUP($M43,Pflanzenkatalog!$A$2:$AB$632,13,FALSE)</f>
        <v>0</v>
      </c>
      <c r="Z43" s="30">
        <f>VLOOKUP($M43,Pflanzenkatalog!$A$2:$AB$632,14,FALSE)</f>
        <v>0</v>
      </c>
      <c r="AA43" s="30">
        <f>VLOOKUP($M43,Pflanzenkatalog!$A$2:$AB$632,15,FALSE)</f>
        <v>0</v>
      </c>
      <c r="AB43" s="30">
        <f>VLOOKUP($M43,Pflanzenkatalog!$A$2:$AB$632,16,FALSE)</f>
        <v>0</v>
      </c>
      <c r="AC43" s="30">
        <f>VLOOKUP($M43,Pflanzenkatalog!$A$2:$AB$632,17,FALSE)</f>
        <v>0</v>
      </c>
      <c r="AD43" s="30">
        <f>VLOOKUP($M43,Pflanzenkatalog!$A$2:$AB$632,18,FALSE)</f>
        <v>0</v>
      </c>
      <c r="AE43" s="30">
        <f>VLOOKUP($M43,Pflanzenkatalog!$A$2:$AB$632,19,FALSE)</f>
        <v>0</v>
      </c>
      <c r="AF43" s="30">
        <f>VLOOKUP($M43,Pflanzenkatalog!$A$2:$AB$632,20,FALSE)</f>
        <v>0</v>
      </c>
    </row>
    <row r="44" spans="1:32" x14ac:dyDescent="0.2">
      <c r="A44" s="4" t="s">
        <v>21</v>
      </c>
      <c r="B44" s="30" t="s">
        <v>4</v>
      </c>
      <c r="C44" s="30" t="s">
        <v>5</v>
      </c>
      <c r="D44" s="30" t="s">
        <v>7</v>
      </c>
      <c r="E44" s="30" t="s">
        <v>13</v>
      </c>
      <c r="F44" s="30">
        <v>5</v>
      </c>
      <c r="G44" s="30" t="s">
        <v>16</v>
      </c>
      <c r="H44" s="30" t="s">
        <v>20</v>
      </c>
      <c r="I44" s="30" t="s">
        <v>424</v>
      </c>
      <c r="J44" s="30" t="s">
        <v>28</v>
      </c>
      <c r="K44" s="30" t="s">
        <v>29</v>
      </c>
      <c r="M44" s="28">
        <v>19</v>
      </c>
      <c r="N44" s="4" t="str">
        <f>VLOOKUP($M44,Pflanzenkatalog!$A$2:$AB$632,2,FALSE)</f>
        <v>Salat div.</v>
      </c>
      <c r="O44" s="30" t="str">
        <f>VLOOKUP($M44,Pflanzenkatalog!$A$2:$AB$632,3,FALSE)</f>
        <v>01.02.</v>
      </c>
      <c r="P44" s="30" t="str">
        <f>VLOOKUP($M44,Pflanzenkatalog!$A$2:$AB$632,4,FALSE)</f>
        <v>15</v>
      </c>
      <c r="Q44" s="30">
        <f>VLOOKUP($M44,Pflanzenkatalog!$A$2:$AB$632,5,FALSE)</f>
        <v>0</v>
      </c>
      <c r="R44" s="30" t="str">
        <f>VLOOKUP($M44,Pflanzenkatalog!$A$2:$AB$632,6,FALSE)</f>
        <v>0,2</v>
      </c>
      <c r="S44" s="30">
        <f>VLOOKUP($M44,Pflanzenkatalog!$A$2:$AB$632,7,FALSE)</f>
        <v>0</v>
      </c>
      <c r="T44" s="30" t="str">
        <f>VLOOKUP($M44,Pflanzenkatalog!$A$2:$AB$632,8,FALSE)</f>
        <v>01.03.-30.09.</v>
      </c>
      <c r="U44" s="30">
        <f>VLOOKUP($M44,Pflanzenkatalog!$A$2:$AB$632,9,FALSE)</f>
        <v>15</v>
      </c>
      <c r="V44" s="30">
        <f>VLOOKUP($M44,Pflanzenkatalog!$A$2:$AB$632,10,FALSE)</f>
        <v>15</v>
      </c>
      <c r="W44" s="30" t="str">
        <f>VLOOKUP($M44,Pflanzenkatalog!$A$2:$AB$632,11,FALSE)</f>
        <v>Mai</v>
      </c>
      <c r="X44" s="30">
        <f>VLOOKUP($M44,Pflanzenkatalog!$A$2:$AB$632,12,FALSE)</f>
        <v>0</v>
      </c>
      <c r="Y44" s="30">
        <f>VLOOKUP($M44,Pflanzenkatalog!$A$2:$AB$632,13,FALSE)</f>
        <v>0</v>
      </c>
      <c r="Z44" s="30">
        <f>VLOOKUP($M44,Pflanzenkatalog!$A$2:$AB$632,14,FALSE)</f>
        <v>0</v>
      </c>
      <c r="AA44" s="30">
        <f>VLOOKUP($M44,Pflanzenkatalog!$A$2:$AB$632,15,FALSE)</f>
        <v>0</v>
      </c>
      <c r="AB44" s="30">
        <f>VLOOKUP($M44,Pflanzenkatalog!$A$2:$AB$632,16,FALSE)</f>
        <v>0</v>
      </c>
      <c r="AC44" s="30">
        <f>VLOOKUP($M44,Pflanzenkatalog!$A$2:$AB$632,17,FALSE)</f>
        <v>0</v>
      </c>
      <c r="AD44" s="30">
        <f>VLOOKUP($M44,Pflanzenkatalog!$A$2:$AB$632,18,FALSE)</f>
        <v>0</v>
      </c>
      <c r="AE44" s="30">
        <f>VLOOKUP($M44,Pflanzenkatalog!$A$2:$AB$632,19,FALSE)</f>
        <v>0</v>
      </c>
      <c r="AF44" s="30" t="str">
        <f>VLOOKUP($M44,Pflanzenkatalog!$A$2:$AB$632,20,FALSE)</f>
        <v>Blatt</v>
      </c>
    </row>
    <row r="45" spans="1:32" x14ac:dyDescent="0.2">
      <c r="A45" s="4" t="s">
        <v>24</v>
      </c>
      <c r="B45" s="30" t="s">
        <v>4</v>
      </c>
      <c r="C45" s="30" t="s">
        <v>5</v>
      </c>
      <c r="D45" s="30" t="s">
        <v>7</v>
      </c>
      <c r="E45" s="30" t="s">
        <v>13</v>
      </c>
      <c r="F45" s="30">
        <v>5</v>
      </c>
      <c r="G45" s="30" t="s">
        <v>27</v>
      </c>
      <c r="H45" s="30" t="s">
        <v>19</v>
      </c>
      <c r="I45" s="30" t="s">
        <v>205</v>
      </c>
      <c r="J45" s="30" t="s">
        <v>28</v>
      </c>
      <c r="K45" s="30" t="s">
        <v>29</v>
      </c>
      <c r="M45" s="28" t="s">
        <v>39</v>
      </c>
      <c r="N45" s="4" t="str">
        <f>VLOOKUP($M45,Pflanzenkatalog!$A$2:$AB$632,2,FALSE)</f>
        <v>Lagerfläche</v>
      </c>
      <c r="O45" s="30">
        <f>VLOOKUP($M45,Pflanzenkatalog!$A$2:$AB$632,3,FALSE)</f>
        <v>0</v>
      </c>
      <c r="P45" s="30">
        <f>VLOOKUP($M45,Pflanzenkatalog!$A$2:$AB$632,4,FALSE)</f>
        <v>0</v>
      </c>
      <c r="Q45" s="30">
        <f>VLOOKUP($M45,Pflanzenkatalog!$A$2:$AB$632,5,FALSE)</f>
        <v>0</v>
      </c>
      <c r="R45" s="30">
        <f>VLOOKUP($M45,Pflanzenkatalog!$A$2:$AB$632,6,FALSE)</f>
        <v>0</v>
      </c>
      <c r="S45" s="30">
        <f>VLOOKUP($M45,Pflanzenkatalog!$A$2:$AB$632,7,FALSE)</f>
        <v>0</v>
      </c>
      <c r="T45" s="30">
        <f>VLOOKUP($M45,Pflanzenkatalog!$A$2:$AB$632,8,FALSE)</f>
        <v>0</v>
      </c>
      <c r="U45" s="30">
        <f>VLOOKUP($M45,Pflanzenkatalog!$A$2:$AB$632,9,FALSE)</f>
        <v>0</v>
      </c>
      <c r="V45" s="30">
        <f>VLOOKUP($M45,Pflanzenkatalog!$A$2:$AB$632,10,FALSE)</f>
        <v>0</v>
      </c>
      <c r="W45" s="30">
        <f>VLOOKUP($M45,Pflanzenkatalog!$A$2:$AB$632,11,FALSE)</f>
        <v>0</v>
      </c>
      <c r="X45" s="30">
        <f>VLOOKUP($M45,Pflanzenkatalog!$A$2:$AB$632,12,FALSE)</f>
        <v>0</v>
      </c>
      <c r="Y45" s="30">
        <f>VLOOKUP($M45,Pflanzenkatalog!$A$2:$AB$632,13,FALSE)</f>
        <v>0</v>
      </c>
      <c r="Z45" s="30">
        <f>VLOOKUP($M45,Pflanzenkatalog!$A$2:$AB$632,14,FALSE)</f>
        <v>0</v>
      </c>
      <c r="AA45" s="30">
        <f>VLOOKUP($M45,Pflanzenkatalog!$A$2:$AB$632,15,FALSE)</f>
        <v>0</v>
      </c>
      <c r="AB45" s="30">
        <f>VLOOKUP($M45,Pflanzenkatalog!$A$2:$AB$632,16,FALSE)</f>
        <v>0</v>
      </c>
      <c r="AC45" s="30">
        <f>VLOOKUP($M45,Pflanzenkatalog!$A$2:$AB$632,17,FALSE)</f>
        <v>0</v>
      </c>
      <c r="AD45" s="30">
        <f>VLOOKUP($M45,Pflanzenkatalog!$A$2:$AB$632,18,FALSE)</f>
        <v>0</v>
      </c>
      <c r="AE45" s="30">
        <f>VLOOKUP($M45,Pflanzenkatalog!$A$2:$AB$632,19,FALSE)</f>
        <v>0</v>
      </c>
      <c r="AF45" s="30">
        <f>VLOOKUP($M45,Pflanzenkatalog!$A$2:$AB$632,20,FALSE)</f>
        <v>0</v>
      </c>
    </row>
    <row r="46" spans="1:32" x14ac:dyDescent="0.2">
      <c r="A46" s="4" t="s">
        <v>25</v>
      </c>
      <c r="B46" s="30" t="s">
        <v>4</v>
      </c>
      <c r="C46" s="30" t="s">
        <v>5</v>
      </c>
      <c r="D46" s="30" t="s">
        <v>7</v>
      </c>
      <c r="E46" s="30" t="s">
        <v>13</v>
      </c>
      <c r="F46" s="30">
        <v>5</v>
      </c>
      <c r="G46" s="30" t="s">
        <v>27</v>
      </c>
      <c r="H46" s="30" t="s">
        <v>20</v>
      </c>
      <c r="I46" s="30" t="s">
        <v>151</v>
      </c>
      <c r="J46" s="30" t="s">
        <v>43</v>
      </c>
      <c r="K46" s="30" t="s">
        <v>146</v>
      </c>
      <c r="L46" s="31">
        <v>1</v>
      </c>
      <c r="M46" s="28">
        <v>1</v>
      </c>
      <c r="N46" s="4" t="str">
        <f>VLOOKUP($M46,Pflanzenkatalog!$A$2:$AB$632,2,FALSE)</f>
        <v>Fleischparadeiser Rotes Herz</v>
      </c>
      <c r="O46" s="30" t="str">
        <f>VLOOKUP($M46,Pflanzenkatalog!$A$2:$AB$632,3,FALSE)</f>
        <v>15.03-15.04</v>
      </c>
      <c r="P46" s="30" t="str">
        <f>VLOOKUP($M46,Pflanzenkatalog!$A$2:$AB$632,4,FALSE)</f>
        <v>20-25</v>
      </c>
      <c r="Q46" s="30" t="str">
        <f>VLOOKUP($M46,Pflanzenkatalog!$A$2:$AB$632,5,FALSE)</f>
        <v>8-10</v>
      </c>
      <c r="R46" s="30" t="str">
        <f>VLOOKUP($M46,Pflanzenkatalog!$A$2:$AB$632,6,FALSE)</f>
        <v>Licht</v>
      </c>
      <c r="S46" s="30" t="str">
        <f>VLOOKUP($M46,Pflanzenkatalog!$A$2:$AB$632,7,FALSE)</f>
        <v>15.05-31.05.</v>
      </c>
      <c r="T46" s="30" t="str">
        <f>VLOOKUP($M46,Pflanzenkatalog!$A$2:$AB$632,8,FALSE)</f>
        <v>nein</v>
      </c>
      <c r="U46" s="30">
        <f>VLOOKUP($M46,Pflanzenkatalog!$A$2:$AB$632,9,FALSE)</f>
        <v>50</v>
      </c>
      <c r="V46" s="30">
        <f>VLOOKUP($M46,Pflanzenkatalog!$A$2:$AB$632,10,FALSE)</f>
        <v>100</v>
      </c>
      <c r="W46" s="30" t="str">
        <f>VLOOKUP($M46,Pflanzenkatalog!$A$2:$AB$632,11,FALSE)</f>
        <v>August</v>
      </c>
      <c r="X46" s="30" t="str">
        <f>VLOOKUP($M46,Pflanzenkatalog!$A$2:$AB$632,12,FALSE)</f>
        <v>unbegrenzt, locker belaubt, wirkt im Jugendstadium schwach, bisweilen bräunliche Blätter die später verschwinden</v>
      </c>
      <c r="Y46" s="30" t="str">
        <f>VLOOKUP($M46,Pflanzenkatalog!$A$2:$AB$632,13,FALSE)</f>
        <v>Arche Noah</v>
      </c>
      <c r="Z46" s="30" t="str">
        <f>VLOOKUP($M46,Pflanzenkatalog!$A$2:$AB$632,14,FALSE)</f>
        <v xml:space="preserve">	Buschbohne, Knoblauch, Kohl, Kohlrabi</v>
      </c>
      <c r="AA46" s="30" t="str">
        <f>VLOOKUP($M46,Pflanzenkatalog!$A$2:$AB$632,15,FALSE)</f>
        <v>Basilikum, gegen Mehltau und weiße Fliege
Tagetes, gegen Nematoden, Viren und weiße Fliege</v>
      </c>
      <c r="AB46" s="30" t="str">
        <f>VLOOKUP($M46,Pflanzenkatalog!$A$2:$AB$632,16,FALSE)</f>
        <v>Erbse, Fenchel, Kartoffeln</v>
      </c>
      <c r="AC46" s="30" t="str">
        <f>VLOOKUP($M46,Pflanzenkatalog!$A$2:$AB$632,17,FALSE)</f>
        <v>Ausgeizen, Mulchen, warm, Schutz vor Regen, mäßig von unten gießen</v>
      </c>
      <c r="AD46" s="30" t="str">
        <f>VLOOKUP($M46,Pflanzenkatalog!$A$2:$AB$632,18,FALSE)</f>
        <v>Das rotes Ochsenherz lässt sich vielfältig verwenden, für Suppen, Saucen und Salate. Die Ausgewogenheit von Süße und Säure ergibt einen sehr guten Geschmack, herzförmig, schwach gerippt und 10-12 cm groß. Ursprünglich stammt die Sorte aus Kroatien.</v>
      </c>
      <c r="AE46" s="30">
        <f>VLOOKUP($M46,Pflanzenkatalog!$A$2:$AB$632,19,FALSE)</f>
        <v>0</v>
      </c>
      <c r="AF46" s="30" t="str">
        <f>VLOOKUP($M46,Pflanzenkatalog!$A$2:$AB$632,20,FALSE)</f>
        <v>Frucht</v>
      </c>
    </row>
    <row r="47" spans="1:32" x14ac:dyDescent="0.2">
      <c r="A47" s="4" t="s">
        <v>25</v>
      </c>
      <c r="B47" s="30" t="s">
        <v>4</v>
      </c>
      <c r="C47" s="30" t="s">
        <v>5</v>
      </c>
      <c r="D47" s="30" t="s">
        <v>7</v>
      </c>
      <c r="E47" s="30" t="s">
        <v>13</v>
      </c>
      <c r="F47" s="30">
        <v>5</v>
      </c>
      <c r="G47" s="30" t="s">
        <v>27</v>
      </c>
      <c r="H47" s="30" t="s">
        <v>20</v>
      </c>
      <c r="I47" s="30" t="s">
        <v>151</v>
      </c>
      <c r="J47" s="30" t="s">
        <v>43</v>
      </c>
      <c r="K47" s="30" t="s">
        <v>146</v>
      </c>
      <c r="L47" s="31">
        <v>1</v>
      </c>
      <c r="M47" s="28">
        <v>49</v>
      </c>
      <c r="N47" s="4" t="str">
        <f>VLOOKUP($M47,Pflanzenkatalog!$A$2:$AB$632,2,FALSE)</f>
        <v>Paradeiser Ochsenherz Tschernij Prinz</v>
      </c>
      <c r="O47" s="30" t="str">
        <f>VLOOKUP($M47,Pflanzenkatalog!$A$2:$AB$632,3,FALSE)</f>
        <v>01.02-31.03.</v>
      </c>
      <c r="P47" s="30" t="str">
        <f>VLOOKUP($M47,Pflanzenkatalog!$A$2:$AB$632,4,FALSE)</f>
        <v>20-25</v>
      </c>
      <c r="Q47" s="30" t="str">
        <f>VLOOKUP($M47,Pflanzenkatalog!$A$2:$AB$632,5,FALSE)</f>
        <v>8-10</v>
      </c>
      <c r="R47" s="30" t="str">
        <f>VLOOKUP($M47,Pflanzenkatalog!$A$2:$AB$632,6,FALSE)</f>
        <v>0,5-1</v>
      </c>
      <c r="S47" s="30" t="str">
        <f>VLOOKUP($M47,Pflanzenkatalog!$A$2:$AB$632,7,FALSE)</f>
        <v>15.04.-15.05.</v>
      </c>
      <c r="T47" s="30" t="str">
        <f>VLOOKUP($M47,Pflanzenkatalog!$A$2:$AB$632,8,FALSE)</f>
        <v>15.05-31.05.</v>
      </c>
      <c r="U47" s="30">
        <f>VLOOKUP($M47,Pflanzenkatalog!$A$2:$AB$632,9,FALSE)</f>
        <v>50</v>
      </c>
      <c r="V47" s="30">
        <f>VLOOKUP($M47,Pflanzenkatalog!$A$2:$AB$632,10,FALSE)</f>
        <v>60</v>
      </c>
      <c r="W47" s="30" t="str">
        <f>VLOOKUP($M47,Pflanzenkatalog!$A$2:$AB$632,11,FALSE)</f>
        <v>Juli</v>
      </c>
      <c r="X47" s="30" t="str">
        <f>VLOOKUP($M47,Pflanzenkatalog!$A$2:$AB$632,12,FALSE)</f>
        <v>Stabtomate</v>
      </c>
      <c r="Y47" s="30" t="str">
        <f>VLOOKUP($M47,Pflanzenkatalog!$A$2:$AB$632,13,FALSE)</f>
        <v>REINSAAT</v>
      </c>
      <c r="Z47" s="30" t="str">
        <f>VLOOKUP($M47,Pflanzenkatalog!$A$2:$AB$632,14,FALSE)</f>
        <v xml:space="preserve">	Buschbohne, Knoblauch, Kohl, Kohlrabi</v>
      </c>
      <c r="AA47" s="30" t="str">
        <f>VLOOKUP($M47,Pflanzenkatalog!$A$2:$AB$632,15,FALSE)</f>
        <v>Basilikum, gegen Mehltau und weiße Fliege
Tagetes, gegen Nematoden, Viren und weiße Fliege</v>
      </c>
      <c r="AB47" s="30" t="str">
        <f>VLOOKUP($M47,Pflanzenkatalog!$A$2:$AB$632,16,FALSE)</f>
        <v>Erbse, Fenchel, Kartoffeln</v>
      </c>
      <c r="AC47" s="30">
        <f>VLOOKUP($M47,Pflanzenkatalog!$A$2:$AB$632,17,FALSE)</f>
        <v>0</v>
      </c>
      <c r="AD47" s="30" t="str">
        <f>VLOOKUP($M47,Pflanzenkatalog!$A$2:$AB$632,18,FALSE)</f>
        <v>Halbdeterminante Fleischtomate aus der EHZ von ReinSaat. Die braunroten, flachrunden Früchte sind von herausragend gutem Geschmack. Mehrkammerige, fleischige und sehr saftige Früchte mit einem Fruchtgewicht von ca. 200 – 300 g. Früh einsetzende Ernte. Sehr beliebte Hausgärtnersorte.</v>
      </c>
      <c r="AE47" s="30">
        <f>VLOOKUP($M47,Pflanzenkatalog!$A$2:$AB$632,19,FALSE)</f>
        <v>0</v>
      </c>
      <c r="AF47" s="30" t="str">
        <f>VLOOKUP($M47,Pflanzenkatalog!$A$2:$AB$632,20,FALSE)</f>
        <v>Frucht</v>
      </c>
    </row>
    <row r="48" spans="1:32" x14ac:dyDescent="0.2">
      <c r="A48" s="4" t="s">
        <v>215</v>
      </c>
      <c r="B48" s="30" t="s">
        <v>1</v>
      </c>
      <c r="C48" s="30" t="s">
        <v>212</v>
      </c>
      <c r="D48" s="30" t="s">
        <v>195</v>
      </c>
      <c r="E48" s="30" t="s">
        <v>13</v>
      </c>
      <c r="F48" s="30">
        <v>6</v>
      </c>
      <c r="G48" s="30" t="s">
        <v>26</v>
      </c>
      <c r="H48" s="30" t="s">
        <v>19</v>
      </c>
      <c r="I48" s="30" t="s">
        <v>433</v>
      </c>
      <c r="J48" s="30" t="s">
        <v>28</v>
      </c>
      <c r="K48" s="30" t="s">
        <v>146</v>
      </c>
      <c r="L48" s="31">
        <v>2</v>
      </c>
      <c r="M48" s="28">
        <v>13</v>
      </c>
      <c r="N48" s="4" t="str">
        <f>VLOOKUP($M48,Pflanzenkatalog!$A$2:$AB$632,2,FALSE)</f>
        <v>Spinat Matador</v>
      </c>
      <c r="O48" s="30" t="str">
        <f>VLOOKUP($M48,Pflanzenkatalog!$A$2:$AB$632,3,FALSE)</f>
        <v>01.01.-30.03.</v>
      </c>
      <c r="P48" s="30" t="str">
        <f>VLOOKUP($M48,Pflanzenkatalog!$A$2:$AB$632,4,FALSE)</f>
        <v>10-15</v>
      </c>
      <c r="Q48" s="30" t="str">
        <f>VLOOKUP($M48,Pflanzenkatalog!$A$2:$AB$632,5,FALSE)</f>
        <v>7-14</v>
      </c>
      <c r="R48" s="30" t="str">
        <f>VLOOKUP($M48,Pflanzenkatalog!$A$2:$AB$632,6,FALSE)</f>
        <v>3</v>
      </c>
      <c r="S48" s="30" t="str">
        <f>VLOOKUP($M48,Pflanzenkatalog!$A$2:$AB$632,7,FALSE)</f>
        <v>01.03.</v>
      </c>
      <c r="T48" s="30" t="str">
        <f>VLOOKUP($M48,Pflanzenkatalog!$A$2:$AB$632,8,FALSE)</f>
        <v>01.03.-01.09.</v>
      </c>
      <c r="U48" s="30">
        <f>VLOOKUP($M48,Pflanzenkatalog!$A$2:$AB$632,9,FALSE)</f>
        <v>3</v>
      </c>
      <c r="V48" s="30">
        <f>VLOOKUP($M48,Pflanzenkatalog!$A$2:$AB$632,10,FALSE)</f>
        <v>15</v>
      </c>
      <c r="W48" s="30" t="str">
        <f>VLOOKUP($M48,Pflanzenkatalog!$A$2:$AB$632,11,FALSE)</f>
        <v>Februar</v>
      </c>
      <c r="X48" s="30" t="str">
        <f>VLOOKUP($M48,Pflanzenkatalog!$A$2:$AB$632,12,FALSE)</f>
        <v>breitwürfig, mehrfacher Schnitt</v>
      </c>
      <c r="Y48" s="30" t="str">
        <f>VLOOKUP($M48,Pflanzenkatalog!$A$2:$AB$632,13,FALSE)</f>
        <v>REINSAAT</v>
      </c>
      <c r="Z48" s="30" t="str">
        <f>VLOOKUP($M48,Pflanzenkatalog!$A$2:$AB$632,14,FALSE)</f>
        <v>Zucchini, Kohlrabi, Erdbeeren</v>
      </c>
      <c r="AA48" s="30">
        <f>VLOOKUP($M48,Pflanzenkatalog!$A$2:$AB$632,15,FALSE)</f>
        <v>0</v>
      </c>
      <c r="AB48" s="30" t="str">
        <f>VLOOKUP($M48,Pflanzenkatalog!$A$2:$AB$632,16,FALSE)</f>
        <v>Petersilie, Sellerie</v>
      </c>
      <c r="AC48" s="30" t="str">
        <f>VLOOKUP($M48,Pflanzenkatalog!$A$2:$AB$632,17,FALSE)</f>
        <v>Direktsaat ab Februar mit Folgesaaten bis Anfang September.</v>
      </c>
      <c r="AD48" s="30" t="str">
        <f>VLOOKUP($M48,Pflanzenkatalog!$A$2:$AB$632,18,FALSE)</f>
        <v>Rasch wachsende, mittelfrühe Sorte mit sehr gutem Ertrag. Zarte, mittel- bis dunkelgrüne Blätter. Für den Frühjahrs- und Herbstanbau und den Überwinterungsanbau geeignet.</v>
      </c>
      <c r="AE48" s="30">
        <f>VLOOKUP($M48,Pflanzenkatalog!$A$2:$AB$632,19,FALSE)</f>
        <v>0</v>
      </c>
      <c r="AF48" s="30" t="str">
        <f>VLOOKUP($M48,Pflanzenkatalog!$A$2:$AB$632,20,FALSE)</f>
        <v>Blatt</v>
      </c>
    </row>
    <row r="49" spans="1:32" x14ac:dyDescent="0.2">
      <c r="A49" s="4" t="s">
        <v>216</v>
      </c>
      <c r="B49" s="30" t="s">
        <v>1</v>
      </c>
      <c r="C49" s="30" t="s">
        <v>212</v>
      </c>
      <c r="D49" s="30" t="s">
        <v>195</v>
      </c>
      <c r="E49" s="30" t="s">
        <v>13</v>
      </c>
      <c r="F49" s="30">
        <v>6</v>
      </c>
      <c r="G49" s="30" t="s">
        <v>26</v>
      </c>
      <c r="H49" s="30" t="s">
        <v>20</v>
      </c>
      <c r="I49" s="30" t="s">
        <v>433</v>
      </c>
      <c r="J49" s="30" t="s">
        <v>28</v>
      </c>
      <c r="K49" s="30" t="s">
        <v>146</v>
      </c>
      <c r="L49" s="31">
        <v>2</v>
      </c>
      <c r="M49" s="28">
        <v>37</v>
      </c>
      <c r="N49" s="4" t="str">
        <f>VLOOKUP($M49,Pflanzenkatalog!$A$2:$AB$632,2,FALSE)</f>
        <v>Kerbel</v>
      </c>
      <c r="O49" s="30">
        <f>VLOOKUP($M49,Pflanzenkatalog!$A$2:$AB$632,3,FALSE)</f>
        <v>0</v>
      </c>
      <c r="P49" s="30">
        <f>VLOOKUP($M49,Pflanzenkatalog!$A$2:$AB$632,4,FALSE)</f>
        <v>0</v>
      </c>
      <c r="Q49" s="30">
        <f>VLOOKUP($M49,Pflanzenkatalog!$A$2:$AB$632,5,FALSE)</f>
        <v>0</v>
      </c>
      <c r="R49" s="30">
        <f>VLOOKUP($M49,Pflanzenkatalog!$A$2:$AB$632,6,FALSE)</f>
        <v>0</v>
      </c>
      <c r="S49" s="30">
        <f>VLOOKUP($M49,Pflanzenkatalog!$A$2:$AB$632,7,FALSE)</f>
        <v>0</v>
      </c>
      <c r="T49" s="30">
        <f>VLOOKUP($M49,Pflanzenkatalog!$A$2:$AB$632,8,FALSE)</f>
        <v>0</v>
      </c>
      <c r="U49" s="30">
        <f>VLOOKUP($M49,Pflanzenkatalog!$A$2:$AB$632,9,FALSE)</f>
        <v>0</v>
      </c>
      <c r="V49" s="30">
        <f>VLOOKUP($M49,Pflanzenkatalog!$A$2:$AB$632,10,FALSE)</f>
        <v>0</v>
      </c>
      <c r="W49" s="30">
        <f>VLOOKUP($M49,Pflanzenkatalog!$A$2:$AB$632,11,FALSE)</f>
        <v>0</v>
      </c>
      <c r="X49" s="30">
        <f>VLOOKUP($M49,Pflanzenkatalog!$A$2:$AB$632,12,FALSE)</f>
        <v>0</v>
      </c>
      <c r="Y49" s="30">
        <f>VLOOKUP($M49,Pflanzenkatalog!$A$2:$AB$632,13,FALSE)</f>
        <v>0</v>
      </c>
      <c r="Z49" s="30">
        <f>VLOOKUP($M49,Pflanzenkatalog!$A$2:$AB$632,14,FALSE)</f>
        <v>0</v>
      </c>
      <c r="AA49" s="30">
        <f>VLOOKUP($M49,Pflanzenkatalog!$A$2:$AB$632,15,FALSE)</f>
        <v>0</v>
      </c>
      <c r="AB49" s="30">
        <f>VLOOKUP($M49,Pflanzenkatalog!$A$2:$AB$632,16,FALSE)</f>
        <v>0</v>
      </c>
      <c r="AC49" s="30">
        <f>VLOOKUP($M49,Pflanzenkatalog!$A$2:$AB$632,17,FALSE)</f>
        <v>0</v>
      </c>
      <c r="AD49" s="30" t="str">
        <f>VLOOKUP($M49,Pflanzenkatalog!$A$2:$AB$632,18,FALSE)</f>
        <v>Gegen Läuse beim Salat</v>
      </c>
      <c r="AE49" s="30">
        <f>VLOOKUP($M49,Pflanzenkatalog!$A$2:$AB$632,19,FALSE)</f>
        <v>0</v>
      </c>
      <c r="AF49" s="30" t="str">
        <f>VLOOKUP($M49,Pflanzenkatalog!$A$2:$AB$632,20,FALSE)</f>
        <v>Kräuter</v>
      </c>
    </row>
    <row r="50" spans="1:32" x14ac:dyDescent="0.2">
      <c r="A50" s="4" t="s">
        <v>430</v>
      </c>
      <c r="B50" s="30" t="s">
        <v>1</v>
      </c>
      <c r="C50" s="30" t="s">
        <v>212</v>
      </c>
      <c r="D50" s="30" t="s">
        <v>195</v>
      </c>
      <c r="E50" s="30" t="s">
        <v>13</v>
      </c>
      <c r="F50" s="30">
        <v>6</v>
      </c>
      <c r="G50" s="30" t="s">
        <v>26</v>
      </c>
      <c r="H50" s="30" t="s">
        <v>144</v>
      </c>
      <c r="I50" s="30" t="s">
        <v>433</v>
      </c>
      <c r="J50" s="30" t="s">
        <v>28</v>
      </c>
      <c r="K50" s="30" t="s">
        <v>146</v>
      </c>
      <c r="L50" s="31">
        <v>2</v>
      </c>
      <c r="M50" s="28">
        <v>52</v>
      </c>
      <c r="N50" s="4" t="str">
        <f>VLOOKUP($M50,Pflanzenkatalog!$A$2:$AB$632,2,FALSE)</f>
        <v>Thymian</v>
      </c>
      <c r="O50" s="30">
        <f>VLOOKUP($M50,Pflanzenkatalog!$A$2:$AB$632,3,FALSE)</f>
        <v>0</v>
      </c>
      <c r="P50" s="30">
        <f>VLOOKUP($M50,Pflanzenkatalog!$A$2:$AB$632,4,FALSE)</f>
        <v>0</v>
      </c>
      <c r="Q50" s="30">
        <f>VLOOKUP($M50,Pflanzenkatalog!$A$2:$AB$632,5,FALSE)</f>
        <v>0</v>
      </c>
      <c r="R50" s="30">
        <f>VLOOKUP($M50,Pflanzenkatalog!$A$2:$AB$632,6,FALSE)</f>
        <v>0</v>
      </c>
      <c r="S50" s="30">
        <f>VLOOKUP($M50,Pflanzenkatalog!$A$2:$AB$632,7,FALSE)</f>
        <v>0</v>
      </c>
      <c r="T50" s="30">
        <f>VLOOKUP($M50,Pflanzenkatalog!$A$2:$AB$632,8,FALSE)</f>
        <v>0</v>
      </c>
      <c r="U50" s="30">
        <f>VLOOKUP($M50,Pflanzenkatalog!$A$2:$AB$632,9,FALSE)</f>
        <v>0</v>
      </c>
      <c r="V50" s="30">
        <f>VLOOKUP($M50,Pflanzenkatalog!$A$2:$AB$632,10,FALSE)</f>
        <v>0</v>
      </c>
      <c r="W50" s="30">
        <f>VLOOKUP($M50,Pflanzenkatalog!$A$2:$AB$632,11,FALSE)</f>
        <v>0</v>
      </c>
      <c r="X50" s="30">
        <f>VLOOKUP($M50,Pflanzenkatalog!$A$2:$AB$632,12,FALSE)</f>
        <v>0</v>
      </c>
      <c r="Y50" s="30" t="str">
        <f>VLOOKUP($M50,Pflanzenkatalog!$A$2:$AB$632,13,FALSE)</f>
        <v>own grown</v>
      </c>
      <c r="Z50" s="30">
        <f>VLOOKUP($M50,Pflanzenkatalog!$A$2:$AB$632,14,FALSE)</f>
        <v>0</v>
      </c>
      <c r="AA50" s="30">
        <f>VLOOKUP($M50,Pflanzenkatalog!$A$2:$AB$632,15,FALSE)</f>
        <v>0</v>
      </c>
      <c r="AB50" s="30">
        <f>VLOOKUP($M50,Pflanzenkatalog!$A$2:$AB$632,16,FALSE)</f>
        <v>0</v>
      </c>
      <c r="AC50" s="30">
        <f>VLOOKUP($M50,Pflanzenkatalog!$A$2:$AB$632,17,FALSE)</f>
        <v>0</v>
      </c>
      <c r="AD50" s="30">
        <f>VLOOKUP($M50,Pflanzenkatalog!$A$2:$AB$632,18,FALSE)</f>
        <v>0</v>
      </c>
      <c r="AE50" s="30">
        <f>VLOOKUP($M50,Pflanzenkatalog!$A$2:$AB$632,19,FALSE)</f>
        <v>0</v>
      </c>
      <c r="AF50" s="30" t="str">
        <f>VLOOKUP($M50,Pflanzenkatalog!$A$2:$AB$632,20,FALSE)</f>
        <v>Kräuter</v>
      </c>
    </row>
    <row r="51" spans="1:32" x14ac:dyDescent="0.2">
      <c r="A51" s="4" t="s">
        <v>524</v>
      </c>
      <c r="B51" s="30" t="s">
        <v>1</v>
      </c>
      <c r="C51" s="30" t="s">
        <v>212</v>
      </c>
      <c r="D51" s="30" t="s">
        <v>195</v>
      </c>
      <c r="E51" s="30" t="s">
        <v>13</v>
      </c>
      <c r="F51" s="30">
        <v>6</v>
      </c>
      <c r="G51" s="30" t="s">
        <v>26</v>
      </c>
      <c r="H51" s="30" t="s">
        <v>437</v>
      </c>
      <c r="I51" s="30" t="s">
        <v>44</v>
      </c>
      <c r="J51" s="30" t="s">
        <v>28</v>
      </c>
      <c r="K51" s="30" t="s">
        <v>146</v>
      </c>
      <c r="L51" s="31">
        <v>10</v>
      </c>
      <c r="M51" s="28">
        <v>34</v>
      </c>
      <c r="N51" s="4" t="str">
        <f>VLOOKUP($M51,Pflanzenkatalog!$A$2:$AB$632,2,FALSE)</f>
        <v>Karotte Duwicker Streit</v>
      </c>
      <c r="O51" s="30">
        <f>VLOOKUP($M51,Pflanzenkatalog!$A$2:$AB$632,3,FALSE)</f>
        <v>0</v>
      </c>
      <c r="P51" s="30" t="str">
        <f>VLOOKUP($M51,Pflanzenkatalog!$A$2:$AB$632,4,FALSE)</f>
        <v>10-20</v>
      </c>
      <c r="Q51" s="30" t="str">
        <f>VLOOKUP($M51,Pflanzenkatalog!$A$2:$AB$632,5,FALSE)</f>
        <v>21</v>
      </c>
      <c r="R51" s="30" t="str">
        <f>VLOOKUP($M51,Pflanzenkatalog!$A$2:$AB$632,6,FALSE)</f>
        <v>1-2,5</v>
      </c>
      <c r="S51" s="30">
        <f>VLOOKUP($M51,Pflanzenkatalog!$A$2:$AB$632,7,FALSE)</f>
        <v>0</v>
      </c>
      <c r="T51" s="30" t="str">
        <f>VLOOKUP($M51,Pflanzenkatalog!$A$2:$AB$632,8,FALSE)</f>
        <v>28.02.-30.06.</v>
      </c>
      <c r="U51" s="30">
        <f>VLOOKUP($M51,Pflanzenkatalog!$A$2:$AB$632,9,FALSE)</f>
        <v>7</v>
      </c>
      <c r="V51" s="30">
        <f>VLOOKUP($M51,Pflanzenkatalog!$A$2:$AB$632,10,FALSE)</f>
        <v>40</v>
      </c>
      <c r="W51" s="30" t="str">
        <f>VLOOKUP($M51,Pflanzenkatalog!$A$2:$AB$632,11,FALSE)</f>
        <v>Mai</v>
      </c>
      <c r="X51" s="30" t="str">
        <f>VLOOKUP($M51,Pflanzenkatalog!$A$2:$AB$632,12,FALSE)</f>
        <v>klein</v>
      </c>
      <c r="Y51" s="30" t="str">
        <f>VLOOKUP($M51,Pflanzenkatalog!$A$2:$AB$632,13,FALSE)</f>
        <v>Arche Noah</v>
      </c>
      <c r="Z51" s="30" t="str">
        <f>VLOOKUP($M51,Pflanzenkatalog!$A$2:$AB$632,14,FALSE)</f>
        <v>Dill, Erbsen, Knoblauch, Lauch, Radieschen, Rettich, Tomaten, Zwiebeln, Schnittlauch</v>
      </c>
      <c r="AA51" s="30">
        <f>VLOOKUP($M51,Pflanzenkatalog!$A$2:$AB$632,15,FALSE)</f>
        <v>0</v>
      </c>
      <c r="AB51" s="30">
        <f>VLOOKUP($M51,Pflanzenkatalog!$A$2:$AB$632,16,FALSE)</f>
        <v>0</v>
      </c>
      <c r="AC51" s="30" t="str">
        <f>VLOOKUP($M51,Pflanzenkatalog!$A$2:$AB$632,17,FALSE)</f>
        <v>darf nie austrocknen bei Neusaat, Unkraut entfernen, Vereinzeln bei Bedarf, sonnig</v>
      </c>
      <c r="AD51" s="30" t="str">
        <f>VLOOKUP($M51,Pflanzenkatalog!$A$2:$AB$632,18,FALSE)</f>
        <v>Ihr Geschmack ist sehr süß und enorm aromatisch! Duwika ist eine raschwüchsige Frühkarotte, die sich als Treibmöhre im Frühbeet und früheste Freilandkarotte eignet. Sie wird aber auch den ganzen Sommer hindurch bis zu spätesten Ausaatterminen Anfang August gesät. Durch den hohen Zuckergehalt ist sie weniger frostempfindlich als andere Sorten. 
„Duwicker" werden Karotten mit kurzen, kreiselförmigen Wurzeln genannt. Die Sorte ist frühreifend, das Fruchtfleisch schmeckt süß und ist orange gefärbt. Auch auf schweren Böden nicht beinig und leicht zu ernten.</v>
      </c>
      <c r="AE51" s="30">
        <f>VLOOKUP($M51,Pflanzenkatalog!$A$2:$AB$632,19,FALSE)</f>
        <v>0</v>
      </c>
      <c r="AF51" s="30" t="str">
        <f>VLOOKUP($M51,Pflanzenkatalog!$A$2:$AB$632,20,FALSE)</f>
        <v>Wurzel</v>
      </c>
    </row>
    <row r="52" spans="1:32" x14ac:dyDescent="0.2">
      <c r="A52" s="4" t="s">
        <v>217</v>
      </c>
      <c r="B52" s="30" t="s">
        <v>1</v>
      </c>
      <c r="C52" s="30" t="s">
        <v>212</v>
      </c>
      <c r="D52" s="30" t="s">
        <v>195</v>
      </c>
      <c r="E52" s="30" t="s">
        <v>13</v>
      </c>
      <c r="F52" s="30">
        <v>6</v>
      </c>
      <c r="G52" s="30" t="s">
        <v>16</v>
      </c>
      <c r="H52" s="30" t="s">
        <v>19</v>
      </c>
      <c r="I52" s="30" t="s">
        <v>425</v>
      </c>
      <c r="J52" s="30" t="s">
        <v>28</v>
      </c>
      <c r="K52" s="30" t="s">
        <v>146</v>
      </c>
      <c r="L52" s="31">
        <v>2</v>
      </c>
      <c r="M52" s="28">
        <v>10</v>
      </c>
      <c r="N52" s="4" t="str">
        <f>VLOOKUP($M52,Pflanzenkatalog!$A$2:$AB$632,2,FALSE)</f>
        <v>Schnittsalat Asia Oriental Mix</v>
      </c>
      <c r="O52" s="30" t="str">
        <f>VLOOKUP($M52,Pflanzenkatalog!$A$2:$AB$632,3,FALSE)</f>
        <v>01.01.-30.04.</v>
      </c>
      <c r="P52" s="30" t="str">
        <f>VLOOKUP($M52,Pflanzenkatalog!$A$2:$AB$632,4,FALSE)</f>
        <v>10-20</v>
      </c>
      <c r="Q52" s="30" t="str">
        <f>VLOOKUP($M52,Pflanzenkatalog!$A$2:$AB$632,5,FALSE)</f>
        <v>8-15</v>
      </c>
      <c r="R52" s="30" t="str">
        <f>VLOOKUP($M52,Pflanzenkatalog!$A$2:$AB$632,6,FALSE)</f>
        <v>1-2</v>
      </c>
      <c r="S52" s="30" t="str">
        <f>VLOOKUP($M52,Pflanzenkatalog!$A$2:$AB$632,7,FALSE)</f>
        <v>01.02.</v>
      </c>
      <c r="T52" s="30" t="str">
        <f>VLOOKUP($M52,Pflanzenkatalog!$A$2:$AB$632,8,FALSE)</f>
        <v>15.07.-01.10.</v>
      </c>
      <c r="U52" s="30" t="str">
        <f>VLOOKUP($M52,Pflanzenkatalog!$A$2:$AB$632,9,FALSE)</f>
        <v>Streu</v>
      </c>
      <c r="V52" s="30" t="str">
        <f>VLOOKUP($M52,Pflanzenkatalog!$A$2:$AB$632,10,FALSE)</f>
        <v>Streu</v>
      </c>
      <c r="W52" s="30" t="str">
        <f>VLOOKUP($M52,Pflanzenkatalog!$A$2:$AB$632,11,FALSE)</f>
        <v>März</v>
      </c>
      <c r="X52" s="30" t="str">
        <f>VLOOKUP($M52,Pflanzenkatalog!$A$2:$AB$632,12,FALSE)</f>
        <v>breitwürfig, mehrfacher Schnitt</v>
      </c>
      <c r="Y52" s="30" t="str">
        <f>VLOOKUP($M52,Pflanzenkatalog!$A$2:$AB$632,13,FALSE)</f>
        <v>REINSAAT</v>
      </c>
      <c r="Z52" s="30" t="str">
        <f>VLOOKUP($M52,Pflanzenkatalog!$A$2:$AB$632,14,FALSE)</f>
        <v>Bohnen, Dill, Erbsen, Erdbeeren, Gurken, Kohl, Lauch, Möhren, Tomaten, Zwiebeln</v>
      </c>
      <c r="AA52" s="30" t="str">
        <f>VLOOKUP($M52,Pflanzenkatalog!$A$2:$AB$632,15,FALSE)</f>
        <v>Kerbel, gegen Läuse</v>
      </c>
      <c r="AB52" s="30" t="str">
        <f>VLOOKUP($M52,Pflanzenkatalog!$A$2:$AB$632,16,FALSE)</f>
        <v>Petersilie, Sellerie</v>
      </c>
      <c r="AC52" s="30" t="str">
        <f>VLOOKUP($M52,Pflanzenkatalog!$A$2:$AB$632,17,FALSE)</f>
        <v>frosttolerant, Direktsaat Freiland unter Vlies ab Februar/März und Juli bis Ende September, Voranzucht für frostfreies Gewächshaus ab Juli bis Jänner für satzweisen Anbau, Kalthaus Februar bis April</v>
      </c>
      <c r="AD52" s="30" t="str">
        <f>VLOOKUP($M52,Pflanzenkatalog!$A$2:$AB$632,18,FALSE)</f>
        <v>Oriental Mix ist eine bunte Cut-and-Come- Again-Salatmischung aus den frostverträglichen Asia-Blattgemüsesorten Pak Choi, Bok Choi, Mizuna, Mibuna, Purple Wave, Rouge metis, Grün im Schnee, Red Giant und anderen. Die Sortenmischung umfasst alle Geschmäcker von feinwürzig bis senfartig scharf.</v>
      </c>
      <c r="AE52" s="30">
        <f>VLOOKUP($M52,Pflanzenkatalog!$A$2:$AB$632,19,FALSE)</f>
        <v>0</v>
      </c>
      <c r="AF52" s="30" t="str">
        <f>VLOOKUP($M52,Pflanzenkatalog!$A$2:$AB$632,20,FALSE)</f>
        <v>Blatt</v>
      </c>
    </row>
    <row r="53" spans="1:32" x14ac:dyDescent="0.2">
      <c r="A53" s="4" t="s">
        <v>218</v>
      </c>
      <c r="B53" s="30" t="s">
        <v>1</v>
      </c>
      <c r="C53" s="30" t="s">
        <v>212</v>
      </c>
      <c r="D53" s="30" t="s">
        <v>195</v>
      </c>
      <c r="E53" s="30" t="s">
        <v>13</v>
      </c>
      <c r="F53" s="30">
        <v>6</v>
      </c>
      <c r="G53" s="30" t="s">
        <v>16</v>
      </c>
      <c r="H53" s="30" t="s">
        <v>20</v>
      </c>
      <c r="I53" s="30" t="s">
        <v>425</v>
      </c>
      <c r="J53" s="30" t="s">
        <v>28</v>
      </c>
      <c r="K53" s="30" t="s">
        <v>146</v>
      </c>
      <c r="L53" s="31">
        <v>2</v>
      </c>
      <c r="M53" s="28">
        <v>36</v>
      </c>
      <c r="N53" s="4" t="str">
        <f>VLOOKUP($M53,Pflanzenkatalog!$A$2:$AB$632,2,FALSE)</f>
        <v>Radieschen</v>
      </c>
      <c r="O53" s="30">
        <f>VLOOKUP($M53,Pflanzenkatalog!$A$2:$AB$632,3,FALSE)</f>
        <v>0</v>
      </c>
      <c r="P53" s="30" t="str">
        <f>VLOOKUP($M53,Pflanzenkatalog!$A$2:$AB$632,4,FALSE)</f>
        <v>8-15</v>
      </c>
      <c r="Q53" s="30" t="str">
        <f>VLOOKUP($M53,Pflanzenkatalog!$A$2:$AB$632,5,FALSE)</f>
        <v>4-6</v>
      </c>
      <c r="R53" s="30" t="str">
        <f>VLOOKUP($M53,Pflanzenkatalog!$A$2:$AB$632,6,FALSE)</f>
        <v>1-1,5</v>
      </c>
      <c r="S53" s="30">
        <f>VLOOKUP($M53,Pflanzenkatalog!$A$2:$AB$632,7,FALSE)</f>
        <v>0</v>
      </c>
      <c r="T53" s="30" t="str">
        <f>VLOOKUP($M53,Pflanzenkatalog!$A$2:$AB$632,8,FALSE)</f>
        <v>15.03.-15.09.</v>
      </c>
      <c r="U53" s="30">
        <f>VLOOKUP($M53,Pflanzenkatalog!$A$2:$AB$632,9,FALSE)</f>
        <v>5</v>
      </c>
      <c r="V53" s="30">
        <f>VLOOKUP($M53,Pflanzenkatalog!$A$2:$AB$632,10,FALSE)</f>
        <v>10</v>
      </c>
      <c r="W53" s="30" t="str">
        <f>VLOOKUP($M53,Pflanzenkatalog!$A$2:$AB$632,11,FALSE)</f>
        <v>Mai</v>
      </c>
      <c r="X53" s="30" t="str">
        <f>VLOOKUP($M53,Pflanzenkatalog!$A$2:$AB$632,12,FALSE)</f>
        <v>klein</v>
      </c>
      <c r="Y53" s="30" t="str">
        <f>VLOOKUP($M53,Pflanzenkatalog!$A$2:$AB$632,13,FALSE)</f>
        <v>div.</v>
      </c>
      <c r="Z53" s="30">
        <f>VLOOKUP($M53,Pflanzenkatalog!$A$2:$AB$632,14,FALSE)</f>
        <v>0</v>
      </c>
      <c r="AA53" s="30">
        <f>VLOOKUP($M53,Pflanzenkatalog!$A$2:$AB$632,15,FALSE)</f>
        <v>0</v>
      </c>
      <c r="AB53" s="30">
        <f>VLOOKUP($M53,Pflanzenkatalog!$A$2:$AB$632,16,FALSE)</f>
        <v>0</v>
      </c>
      <c r="AC53" s="30" t="str">
        <f>VLOOKUP($M53,Pflanzenkatalog!$A$2:$AB$632,17,FALSE)</f>
        <v>Halbschatten, Sonne (Frühjahr, Herbst)</v>
      </c>
      <c r="AD53" s="30">
        <f>VLOOKUP($M53,Pflanzenkatalog!$A$2:$AB$632,18,FALSE)</f>
        <v>0</v>
      </c>
      <c r="AE53" s="30">
        <f>VLOOKUP($M53,Pflanzenkatalog!$A$2:$AB$632,19,FALSE)</f>
        <v>0</v>
      </c>
      <c r="AF53" s="30" t="str">
        <f>VLOOKUP($M53,Pflanzenkatalog!$A$2:$AB$632,20,FALSE)</f>
        <v>Wurzel</v>
      </c>
    </row>
    <row r="54" spans="1:32" x14ac:dyDescent="0.2">
      <c r="A54" s="4" t="s">
        <v>431</v>
      </c>
      <c r="B54" s="30" t="s">
        <v>1</v>
      </c>
      <c r="C54" s="30" t="s">
        <v>212</v>
      </c>
      <c r="D54" s="30" t="s">
        <v>195</v>
      </c>
      <c r="E54" s="30" t="s">
        <v>13</v>
      </c>
      <c r="F54" s="30">
        <v>6</v>
      </c>
      <c r="G54" s="30" t="s">
        <v>16</v>
      </c>
      <c r="H54" s="30" t="s">
        <v>144</v>
      </c>
      <c r="I54" s="30" t="s">
        <v>425</v>
      </c>
      <c r="J54" s="30" t="s">
        <v>28</v>
      </c>
      <c r="K54" s="30" t="s">
        <v>146</v>
      </c>
      <c r="L54" s="31">
        <v>2</v>
      </c>
      <c r="M54" s="28">
        <v>11</v>
      </c>
      <c r="N54" s="4" t="str">
        <f>VLOOKUP($M54,Pflanzenkatalog!$A$2:$AB$632,2,FALSE)</f>
        <v>Schnittsalat Misticanza</v>
      </c>
      <c r="O54" s="30" t="str">
        <f>VLOOKUP($M54,Pflanzenkatalog!$A$2:$AB$632,3,FALSE)</f>
        <v>01.01.-30.04.</v>
      </c>
      <c r="P54" s="30" t="str">
        <f>VLOOKUP($M54,Pflanzenkatalog!$A$2:$AB$632,4,FALSE)</f>
        <v>10-15</v>
      </c>
      <c r="Q54" s="30" t="str">
        <f>VLOOKUP($M54,Pflanzenkatalog!$A$2:$AB$632,5,FALSE)</f>
        <v>7-14</v>
      </c>
      <c r="R54" s="30" t="str">
        <f>VLOOKUP($M54,Pflanzenkatalog!$A$2:$AB$632,6,FALSE)</f>
        <v>1-2</v>
      </c>
      <c r="S54" s="30" t="str">
        <f>VLOOKUP($M54,Pflanzenkatalog!$A$2:$AB$632,7,FALSE)</f>
        <v>01.02.</v>
      </c>
      <c r="T54" s="30" t="str">
        <f>VLOOKUP($M54,Pflanzenkatalog!$A$2:$AB$632,8,FALSE)</f>
        <v>01.02.-01.09.</v>
      </c>
      <c r="U54" s="30" t="str">
        <f>VLOOKUP($M54,Pflanzenkatalog!$A$2:$AB$632,9,FALSE)</f>
        <v>Streu</v>
      </c>
      <c r="V54" s="30" t="str">
        <f>VLOOKUP($M54,Pflanzenkatalog!$A$2:$AB$632,10,FALSE)</f>
        <v>Streu</v>
      </c>
      <c r="W54" s="30" t="str">
        <f>VLOOKUP($M54,Pflanzenkatalog!$A$2:$AB$632,11,FALSE)</f>
        <v>Februar</v>
      </c>
      <c r="X54" s="30" t="str">
        <f>VLOOKUP($M54,Pflanzenkatalog!$A$2:$AB$632,12,FALSE)</f>
        <v>breitwürfig, mehrfacher Schnitt</v>
      </c>
      <c r="Y54" s="30" t="str">
        <f>VLOOKUP($M54,Pflanzenkatalog!$A$2:$AB$632,13,FALSE)</f>
        <v>REINSAAT</v>
      </c>
      <c r="Z54" s="30" t="str">
        <f>VLOOKUP($M54,Pflanzenkatalog!$A$2:$AB$632,14,FALSE)</f>
        <v>Bohnen, Dill, Erbsen, Erdbeeren, Gurken, Kohl, Lauch, Möhren, Tomaten, Zwiebeln</v>
      </c>
      <c r="AA54" s="30" t="str">
        <f>VLOOKUP($M54,Pflanzenkatalog!$A$2:$AB$632,15,FALSE)</f>
        <v>Kerbel, gegen Läuse</v>
      </c>
      <c r="AB54" s="30" t="str">
        <f>VLOOKUP($M54,Pflanzenkatalog!$A$2:$AB$632,16,FALSE)</f>
        <v>Petersilie, Sellerie</v>
      </c>
      <c r="AC54" s="30" t="str">
        <f>VLOOKUP($M54,Pflanzenkatalog!$A$2:$AB$632,17,FALSE)</f>
        <v>Direktsaat ab Februar mit Folgesaaten bis Anfang September.</v>
      </c>
      <c r="AD54" s="30" t="str">
        <f>VLOOKUP($M54,Pflanzenkatalog!$A$2:$AB$632,18,FALSE)</f>
        <v xml:space="preserve">Traditioneller, italienischer Sorten- und Artenmix. Beliebte Pflücksalat-Mischung aus den roten und grünen Pflücksalaten, Romana- und Eichblattsalaten, Schnittzichorien, Rucola und der typischen Spezialität des Original-Misticanza Hirschhornwegerichs (Herba Stella). </v>
      </c>
      <c r="AE54" s="30">
        <f>VLOOKUP($M54,Pflanzenkatalog!$A$2:$AB$632,19,FALSE)</f>
        <v>0</v>
      </c>
      <c r="AF54" s="30" t="str">
        <f>VLOOKUP($M54,Pflanzenkatalog!$A$2:$AB$632,20,FALSE)</f>
        <v>Blatt</v>
      </c>
    </row>
    <row r="55" spans="1:32" x14ac:dyDescent="0.2">
      <c r="A55" s="4" t="s">
        <v>214</v>
      </c>
      <c r="B55" s="30" t="s">
        <v>1</v>
      </c>
      <c r="C55" s="30" t="s">
        <v>212</v>
      </c>
      <c r="D55" s="30" t="s">
        <v>195</v>
      </c>
      <c r="E55" s="30" t="s">
        <v>13</v>
      </c>
      <c r="F55" s="30">
        <v>6</v>
      </c>
      <c r="G55" s="30" t="s">
        <v>27</v>
      </c>
      <c r="H55" s="30" t="s">
        <v>19</v>
      </c>
      <c r="I55" s="30" t="s">
        <v>428</v>
      </c>
      <c r="J55" s="30" t="s">
        <v>28</v>
      </c>
      <c r="K55" s="30" t="s">
        <v>146</v>
      </c>
      <c r="L55" s="31">
        <v>2</v>
      </c>
      <c r="M55" s="28">
        <v>26</v>
      </c>
      <c r="N55" s="4" t="str">
        <f>VLOOKUP($M55,Pflanzenkatalog!$A$2:$AB$632,2,FALSE)</f>
        <v>Erdbeeren mix</v>
      </c>
      <c r="O55" s="30">
        <f>VLOOKUP($M55,Pflanzenkatalog!$A$2:$AB$632,3,FALSE)</f>
        <v>0</v>
      </c>
      <c r="P55" s="30">
        <f>VLOOKUP($M55,Pflanzenkatalog!$A$2:$AB$632,4,FALSE)</f>
        <v>0</v>
      </c>
      <c r="Q55" s="30">
        <f>VLOOKUP($M55,Pflanzenkatalog!$A$2:$AB$632,5,FALSE)</f>
        <v>0</v>
      </c>
      <c r="R55" s="30">
        <f>VLOOKUP($M55,Pflanzenkatalog!$A$2:$AB$632,6,FALSE)</f>
        <v>0</v>
      </c>
      <c r="S55" s="30">
        <f>VLOOKUP($M55,Pflanzenkatalog!$A$2:$AB$632,7,FALSE)</f>
        <v>0</v>
      </c>
      <c r="T55" s="30" t="str">
        <f>VLOOKUP($M55,Pflanzenkatalog!$A$2:$AB$632,8,FALSE)</f>
        <v>nein</v>
      </c>
      <c r="U55" s="30">
        <f>VLOOKUP($M55,Pflanzenkatalog!$A$2:$AB$632,9,FALSE)</f>
        <v>0</v>
      </c>
      <c r="V55" s="30">
        <f>VLOOKUP($M55,Pflanzenkatalog!$A$2:$AB$632,10,FALSE)</f>
        <v>0</v>
      </c>
      <c r="W55" s="30">
        <f>VLOOKUP($M55,Pflanzenkatalog!$A$2:$AB$632,11,FALSE)</f>
        <v>0</v>
      </c>
      <c r="X55" s="30">
        <f>VLOOKUP($M55,Pflanzenkatalog!$A$2:$AB$632,12,FALSE)</f>
        <v>0</v>
      </c>
      <c r="Y55" s="30">
        <f>VLOOKUP($M55,Pflanzenkatalog!$A$2:$AB$632,13,FALSE)</f>
        <v>0</v>
      </c>
      <c r="Z55" s="30">
        <f>VLOOKUP($M55,Pflanzenkatalog!$A$2:$AB$632,14,FALSE)</f>
        <v>0</v>
      </c>
      <c r="AA55" s="30">
        <f>VLOOKUP($M55,Pflanzenkatalog!$A$2:$AB$632,15,FALSE)</f>
        <v>0</v>
      </c>
      <c r="AB55" s="30">
        <f>VLOOKUP($M55,Pflanzenkatalog!$A$2:$AB$632,16,FALSE)</f>
        <v>0</v>
      </c>
      <c r="AC55" s="30">
        <f>VLOOKUP($M55,Pflanzenkatalog!$A$2:$AB$632,17,FALSE)</f>
        <v>0</v>
      </c>
      <c r="AD55" s="30">
        <f>VLOOKUP($M55,Pflanzenkatalog!$A$2:$AB$632,18,FALSE)</f>
        <v>0</v>
      </c>
      <c r="AE55" s="30">
        <f>VLOOKUP($M55,Pflanzenkatalog!$A$2:$AB$632,19,FALSE)</f>
        <v>0</v>
      </c>
      <c r="AF55" s="30" t="str">
        <f>VLOOKUP($M55,Pflanzenkatalog!$A$2:$AB$632,20,FALSE)</f>
        <v>Beeren</v>
      </c>
    </row>
    <row r="56" spans="1:32" x14ac:dyDescent="0.2">
      <c r="A56" s="4" t="s">
        <v>213</v>
      </c>
      <c r="B56" s="30" t="s">
        <v>1</v>
      </c>
      <c r="C56" s="30" t="s">
        <v>212</v>
      </c>
      <c r="D56" s="30" t="s">
        <v>195</v>
      </c>
      <c r="E56" s="30" t="s">
        <v>13</v>
      </c>
      <c r="F56" s="30">
        <v>6</v>
      </c>
      <c r="G56" s="30" t="s">
        <v>27</v>
      </c>
      <c r="H56" s="30" t="s">
        <v>20</v>
      </c>
      <c r="I56" s="30" t="s">
        <v>428</v>
      </c>
      <c r="J56" s="30" t="s">
        <v>28</v>
      </c>
      <c r="K56" s="30" t="s">
        <v>146</v>
      </c>
      <c r="L56" s="31">
        <v>2</v>
      </c>
      <c r="M56" s="28">
        <v>39</v>
      </c>
      <c r="N56" s="4" t="str">
        <f>VLOOKUP($M56,Pflanzenkatalog!$A$2:$AB$632,2,FALSE)</f>
        <v>Koriander</v>
      </c>
      <c r="O56" s="30" t="str">
        <f>VLOOKUP($M56,Pflanzenkatalog!$A$2:$AB$632,3,FALSE)</f>
        <v>nein</v>
      </c>
      <c r="P56" s="30" t="str">
        <f>VLOOKUP($M56,Pflanzenkatalog!$A$2:$AB$632,4,FALSE)</f>
        <v>10-20</v>
      </c>
      <c r="Q56" s="30" t="str">
        <f>VLOOKUP($M56,Pflanzenkatalog!$A$2:$AB$632,5,FALSE)</f>
        <v>5-8</v>
      </c>
      <c r="R56" s="30" t="str">
        <f>VLOOKUP($M56,Pflanzenkatalog!$A$2:$AB$632,6,FALSE)</f>
        <v>0,5</v>
      </c>
      <c r="S56" s="30" t="str">
        <f>VLOOKUP($M56,Pflanzenkatalog!$A$2:$AB$632,7,FALSE)</f>
        <v>01.04.-31.07.</v>
      </c>
      <c r="T56" s="30" t="str">
        <f>VLOOKUP($M56,Pflanzenkatalog!$A$2:$AB$632,8,FALSE)</f>
        <v>01.04.-31.07.</v>
      </c>
      <c r="U56" s="30">
        <f>VLOOKUP($M56,Pflanzenkatalog!$A$2:$AB$632,9,FALSE)</f>
        <v>10</v>
      </c>
      <c r="V56" s="30">
        <f>VLOOKUP($M56,Pflanzenkatalog!$A$2:$AB$632,10,FALSE)</f>
        <v>30</v>
      </c>
      <c r="W56" s="30" t="str">
        <f>VLOOKUP($M56,Pflanzenkatalog!$A$2:$AB$632,11,FALSE)</f>
        <v>Mai, mit Folgesaat alle 4 Wochen</v>
      </c>
      <c r="X56" s="30" t="str">
        <f>VLOOKUP($M56,Pflanzenkatalog!$A$2:$AB$632,12,FALSE)</f>
        <v>100 cm</v>
      </c>
      <c r="Y56" s="30" t="str">
        <f>VLOOKUP($M56,Pflanzenkatalog!$A$2:$AB$632,13,FALSE)</f>
        <v>SPAR Bio</v>
      </c>
      <c r="Z56" s="30">
        <f>VLOOKUP($M56,Pflanzenkatalog!$A$2:$AB$632,14,FALSE)</f>
        <v>0</v>
      </c>
      <c r="AA56" s="30">
        <f>VLOOKUP($M56,Pflanzenkatalog!$A$2:$AB$632,15,FALSE)</f>
        <v>0</v>
      </c>
      <c r="AB56" s="30">
        <f>VLOOKUP($M56,Pflanzenkatalog!$A$2:$AB$632,16,FALSE)</f>
        <v>0</v>
      </c>
      <c r="AC56" s="30" t="str">
        <f>VLOOKUP($M56,Pflanzenkatalog!$A$2:$AB$632,17,FALSE)</f>
        <v>Halbschatten für Blattwachstum, sonnig für Samenreife; liebt kalkhaltigen Boden,
regelmäßig gießen, organisch düngen</v>
      </c>
      <c r="AD56" s="30" t="str">
        <f>VLOOKUP($M56,Pflanzenkatalog!$A$2:$AB$632,18,FALSE)</f>
        <v>Gewürzkraut für anspruchsvolle Kenner. Grünzeug wie Petersilie und Samenkörner als Gewürz verwendet.</v>
      </c>
      <c r="AE56" s="30">
        <f>VLOOKUP($M56,Pflanzenkatalog!$A$2:$AB$632,19,FALSE)</f>
        <v>0</v>
      </c>
      <c r="AF56" s="30" t="str">
        <f>VLOOKUP($M56,Pflanzenkatalog!$A$2:$AB$632,20,FALSE)</f>
        <v>Kräuter</v>
      </c>
    </row>
    <row r="57" spans="1:32" x14ac:dyDescent="0.2">
      <c r="A57" s="4" t="s">
        <v>523</v>
      </c>
      <c r="B57" s="30" t="s">
        <v>1</v>
      </c>
      <c r="C57" s="30" t="s">
        <v>212</v>
      </c>
      <c r="D57" s="30" t="s">
        <v>195</v>
      </c>
      <c r="E57" s="30" t="s">
        <v>13</v>
      </c>
      <c r="F57" s="30">
        <v>6</v>
      </c>
      <c r="G57" s="30" t="s">
        <v>27</v>
      </c>
      <c r="H57" s="30" t="s">
        <v>144</v>
      </c>
      <c r="I57" s="30" t="s">
        <v>428</v>
      </c>
      <c r="J57" s="30" t="s">
        <v>28</v>
      </c>
      <c r="K57" s="30" t="s">
        <v>146</v>
      </c>
      <c r="L57" s="31">
        <v>2</v>
      </c>
      <c r="M57" s="28">
        <v>5</v>
      </c>
      <c r="N57" s="4" t="str">
        <f>VLOOKUP($M57,Pflanzenkatalog!$A$2:$AB$632,2,FALSE)</f>
        <v>Wintermarie</v>
      </c>
      <c r="O57" s="30" t="str">
        <f>VLOOKUP($M57,Pflanzenkatalog!$A$2:$AB$632,3,FALSE)</f>
        <v>01.02.-28.02.</v>
      </c>
      <c r="P57" s="30" t="str">
        <f>VLOOKUP($M57,Pflanzenkatalog!$A$2:$AB$632,4,FALSE)</f>
        <v>10-15</v>
      </c>
      <c r="Q57" s="30" t="str">
        <f>VLOOKUP($M57,Pflanzenkatalog!$A$2:$AB$632,5,FALSE)</f>
        <v>5-7</v>
      </c>
      <c r="R57" s="30" t="str">
        <f>VLOOKUP($M57,Pflanzenkatalog!$A$2:$AB$632,6,FALSE)</f>
        <v>Licht</v>
      </c>
      <c r="S57" s="30" t="str">
        <f>VLOOKUP($M57,Pflanzenkatalog!$A$2:$AB$632,7,FALSE)</f>
        <v>01.04.</v>
      </c>
      <c r="T57" s="30" t="str">
        <f>VLOOKUP($M57,Pflanzenkatalog!$A$2:$AB$632,8,FALSE)</f>
        <v xml:space="preserve">15.07.-31.08. </v>
      </c>
      <c r="U57" s="30">
        <f>VLOOKUP($M57,Pflanzenkatalog!$A$2:$AB$632,9,FALSE)</f>
        <v>30</v>
      </c>
      <c r="V57" s="30">
        <f>VLOOKUP($M57,Pflanzenkatalog!$A$2:$AB$632,10,FALSE)</f>
        <v>30</v>
      </c>
      <c r="W57" s="30" t="str">
        <f>VLOOKUP($M57,Pflanzenkatalog!$A$2:$AB$632,11,FALSE)</f>
        <v>April</v>
      </c>
      <c r="X57" s="30" t="str">
        <f>VLOOKUP($M57,Pflanzenkatalog!$A$2:$AB$632,12,FALSE)</f>
        <v>Kopf locker attraktiv durch Rotfärbung</v>
      </c>
      <c r="Y57" s="30" t="str">
        <f>VLOOKUP($M57,Pflanzenkatalog!$A$2:$AB$632,13,FALSE)</f>
        <v>Arche Noah</v>
      </c>
      <c r="Z57" s="30" t="str">
        <f>VLOOKUP($M57,Pflanzenkatalog!$A$2:$AB$632,14,FALSE)</f>
        <v>Bohnen, Dill, Erbsen, Erdbeeren, Gurken, Kohl, Lauch, Möhren, Tomaten, Zwiebeln</v>
      </c>
      <c r="AA57" s="30" t="str">
        <f>VLOOKUP($M57,Pflanzenkatalog!$A$2:$AB$632,15,FALSE)</f>
        <v>Kerbel, gegen Läuse</v>
      </c>
      <c r="AB57" s="30" t="str">
        <f>VLOOKUP($M57,Pflanzenkatalog!$A$2:$AB$632,16,FALSE)</f>
        <v>Petersilie, Sellerie</v>
      </c>
      <c r="AC57" s="30" t="str">
        <f>VLOOKUP($M57,Pflanzenkatalog!$A$2:$AB$632,17,FALSE)</f>
        <v>sonnig feucht bevorzugt, Boden locker gut feucht</v>
      </c>
      <c r="AD57" s="30" t="str">
        <f>VLOOKUP($M57,Pflanzenkatalog!$A$2:$AB$632,18,FALSE)</f>
        <v xml:space="preserve">Der Kopfsalat ist außer frisch auch für die Spinatzubereitung geeignet. Die leichte Rotfärbung sieht sehr schön aus. Köstlich, sehr zart! Die Pflanzen sind raschwüchsig und robust gegen Pilzkrankheiten und Kälte. Er hat sich auch als Überwinterungskultur bewährt. Attraktiv durch Rotfärbung. Aus Kroatien. </v>
      </c>
      <c r="AE57" s="30">
        <f>VLOOKUP($M57,Pflanzenkatalog!$A$2:$AB$632,19,FALSE)</f>
        <v>0</v>
      </c>
      <c r="AF57" s="30" t="str">
        <f>VLOOKUP($M57,Pflanzenkatalog!$A$2:$AB$632,20,FALSE)</f>
        <v>Blatt</v>
      </c>
    </row>
    <row r="58" spans="1:32" x14ac:dyDescent="0.2">
      <c r="A58" s="4" t="s">
        <v>221</v>
      </c>
      <c r="B58" s="30" t="s">
        <v>1</v>
      </c>
      <c r="C58" s="30" t="s">
        <v>212</v>
      </c>
      <c r="D58" s="30" t="s">
        <v>195</v>
      </c>
      <c r="E58" s="30" t="s">
        <v>13</v>
      </c>
      <c r="F58" s="30">
        <v>7</v>
      </c>
      <c r="G58" s="30" t="s">
        <v>26</v>
      </c>
      <c r="H58" s="30" t="s">
        <v>19</v>
      </c>
      <c r="I58" s="30" t="s">
        <v>433</v>
      </c>
      <c r="J58" s="30" t="s">
        <v>28</v>
      </c>
      <c r="K58" s="30" t="s">
        <v>146</v>
      </c>
      <c r="L58" s="31">
        <v>2</v>
      </c>
      <c r="M58" s="28">
        <v>26</v>
      </c>
      <c r="N58" s="4" t="str">
        <f>VLOOKUP($M58,Pflanzenkatalog!$A$2:$AB$632,2,FALSE)</f>
        <v>Erdbeeren mix</v>
      </c>
      <c r="O58" s="30">
        <f>VLOOKUP($M58,Pflanzenkatalog!$A$2:$AB$632,3,FALSE)</f>
        <v>0</v>
      </c>
      <c r="P58" s="30">
        <f>VLOOKUP($M58,Pflanzenkatalog!$A$2:$AB$632,4,FALSE)</f>
        <v>0</v>
      </c>
      <c r="Q58" s="30">
        <f>VLOOKUP($M58,Pflanzenkatalog!$A$2:$AB$632,5,FALSE)</f>
        <v>0</v>
      </c>
      <c r="R58" s="30">
        <f>VLOOKUP($M58,Pflanzenkatalog!$A$2:$AB$632,6,FALSE)</f>
        <v>0</v>
      </c>
      <c r="S58" s="30">
        <f>VLOOKUP($M58,Pflanzenkatalog!$A$2:$AB$632,7,FALSE)</f>
        <v>0</v>
      </c>
      <c r="T58" s="30" t="str">
        <f>VLOOKUP($M58,Pflanzenkatalog!$A$2:$AB$632,8,FALSE)</f>
        <v>nein</v>
      </c>
      <c r="U58" s="30">
        <f>VLOOKUP($M58,Pflanzenkatalog!$A$2:$AB$632,9,FALSE)</f>
        <v>0</v>
      </c>
      <c r="V58" s="30">
        <f>VLOOKUP($M58,Pflanzenkatalog!$A$2:$AB$632,10,FALSE)</f>
        <v>0</v>
      </c>
      <c r="W58" s="30">
        <f>VLOOKUP($M58,Pflanzenkatalog!$A$2:$AB$632,11,FALSE)</f>
        <v>0</v>
      </c>
      <c r="X58" s="30">
        <f>VLOOKUP($M58,Pflanzenkatalog!$A$2:$AB$632,12,FALSE)</f>
        <v>0</v>
      </c>
      <c r="Y58" s="30">
        <f>VLOOKUP($M58,Pflanzenkatalog!$A$2:$AB$632,13,FALSE)</f>
        <v>0</v>
      </c>
      <c r="Z58" s="30">
        <f>VLOOKUP($M58,Pflanzenkatalog!$A$2:$AB$632,14,FALSE)</f>
        <v>0</v>
      </c>
      <c r="AA58" s="30">
        <f>VLOOKUP($M58,Pflanzenkatalog!$A$2:$AB$632,15,FALSE)</f>
        <v>0</v>
      </c>
      <c r="AB58" s="30">
        <f>VLOOKUP($M58,Pflanzenkatalog!$A$2:$AB$632,16,FALSE)</f>
        <v>0</v>
      </c>
      <c r="AC58" s="30">
        <f>VLOOKUP($M58,Pflanzenkatalog!$A$2:$AB$632,17,FALSE)</f>
        <v>0</v>
      </c>
      <c r="AD58" s="30">
        <f>VLOOKUP($M58,Pflanzenkatalog!$A$2:$AB$632,18,FALSE)</f>
        <v>0</v>
      </c>
      <c r="AE58" s="30">
        <f>VLOOKUP($M58,Pflanzenkatalog!$A$2:$AB$632,19,FALSE)</f>
        <v>0</v>
      </c>
      <c r="AF58" s="30" t="str">
        <f>VLOOKUP($M58,Pflanzenkatalog!$A$2:$AB$632,20,FALSE)</f>
        <v>Beeren</v>
      </c>
    </row>
    <row r="59" spans="1:32" x14ac:dyDescent="0.2">
      <c r="A59" s="4" t="s">
        <v>222</v>
      </c>
      <c r="B59" s="30" t="s">
        <v>1</v>
      </c>
      <c r="C59" s="30" t="s">
        <v>212</v>
      </c>
      <c r="D59" s="30" t="s">
        <v>195</v>
      </c>
      <c r="E59" s="30" t="s">
        <v>13</v>
      </c>
      <c r="F59" s="30">
        <v>7</v>
      </c>
      <c r="G59" s="30" t="s">
        <v>26</v>
      </c>
      <c r="H59" s="30" t="s">
        <v>20</v>
      </c>
      <c r="I59" s="30" t="s">
        <v>433</v>
      </c>
      <c r="J59" s="30" t="s">
        <v>28</v>
      </c>
      <c r="K59" s="30" t="s">
        <v>146</v>
      </c>
      <c r="L59" s="31">
        <v>2</v>
      </c>
      <c r="M59" s="28">
        <v>22</v>
      </c>
      <c r="N59" s="4" t="str">
        <f>VLOOKUP($M59,Pflanzenkatalog!$A$2:$AB$632,2,FALSE)</f>
        <v>Kräuter div.</v>
      </c>
      <c r="O59" s="30">
        <f>VLOOKUP($M59,Pflanzenkatalog!$A$2:$AB$632,3,FALSE)</f>
        <v>0</v>
      </c>
      <c r="P59" s="30">
        <f>VLOOKUP($M59,Pflanzenkatalog!$A$2:$AB$632,4,FALSE)</f>
        <v>0</v>
      </c>
      <c r="Q59" s="30">
        <f>VLOOKUP($M59,Pflanzenkatalog!$A$2:$AB$632,5,FALSE)</f>
        <v>0</v>
      </c>
      <c r="R59" s="30">
        <f>VLOOKUP($M59,Pflanzenkatalog!$A$2:$AB$632,6,FALSE)</f>
        <v>0</v>
      </c>
      <c r="S59" s="30">
        <f>VLOOKUP($M59,Pflanzenkatalog!$A$2:$AB$632,7,FALSE)</f>
        <v>0</v>
      </c>
      <c r="T59" s="30" t="str">
        <f>VLOOKUP($M59,Pflanzenkatalog!$A$2:$AB$632,8,FALSE)</f>
        <v>nein</v>
      </c>
      <c r="U59" s="30">
        <f>VLOOKUP($M59,Pflanzenkatalog!$A$2:$AB$632,9,FALSE)</f>
        <v>0</v>
      </c>
      <c r="V59" s="30">
        <f>VLOOKUP($M59,Pflanzenkatalog!$A$2:$AB$632,10,FALSE)</f>
        <v>0</v>
      </c>
      <c r="W59" s="30">
        <f>VLOOKUP($M59,Pflanzenkatalog!$A$2:$AB$632,11,FALSE)</f>
        <v>0</v>
      </c>
      <c r="X59" s="30">
        <f>VLOOKUP($M59,Pflanzenkatalog!$A$2:$AB$632,12,FALSE)</f>
        <v>0</v>
      </c>
      <c r="Y59" s="30">
        <f>VLOOKUP($M59,Pflanzenkatalog!$A$2:$AB$632,13,FALSE)</f>
        <v>0</v>
      </c>
      <c r="Z59" s="30">
        <f>VLOOKUP($M59,Pflanzenkatalog!$A$2:$AB$632,14,FALSE)</f>
        <v>0</v>
      </c>
      <c r="AA59" s="30">
        <f>VLOOKUP($M59,Pflanzenkatalog!$A$2:$AB$632,15,FALSE)</f>
        <v>0</v>
      </c>
      <c r="AB59" s="30">
        <f>VLOOKUP($M59,Pflanzenkatalog!$A$2:$AB$632,16,FALSE)</f>
        <v>0</v>
      </c>
      <c r="AC59" s="30">
        <f>VLOOKUP($M59,Pflanzenkatalog!$A$2:$AB$632,17,FALSE)</f>
        <v>0</v>
      </c>
      <c r="AD59" s="30">
        <f>VLOOKUP($M59,Pflanzenkatalog!$A$2:$AB$632,18,FALSE)</f>
        <v>0</v>
      </c>
      <c r="AE59" s="30">
        <f>VLOOKUP($M59,Pflanzenkatalog!$A$2:$AB$632,19,FALSE)</f>
        <v>0</v>
      </c>
      <c r="AF59" s="30" t="str">
        <f>VLOOKUP($M59,Pflanzenkatalog!$A$2:$AB$632,20,FALSE)</f>
        <v>Kräuter</v>
      </c>
    </row>
    <row r="60" spans="1:32" x14ac:dyDescent="0.2">
      <c r="A60" s="4" t="s">
        <v>434</v>
      </c>
      <c r="B60" s="30" t="s">
        <v>1</v>
      </c>
      <c r="C60" s="30" t="s">
        <v>212</v>
      </c>
      <c r="D60" s="30" t="s">
        <v>195</v>
      </c>
      <c r="E60" s="30" t="s">
        <v>13</v>
      </c>
      <c r="F60" s="30">
        <v>7</v>
      </c>
      <c r="G60" s="30" t="s">
        <v>26</v>
      </c>
      <c r="H60" s="30" t="s">
        <v>144</v>
      </c>
      <c r="I60" s="30" t="s">
        <v>433</v>
      </c>
      <c r="J60" s="30" t="s">
        <v>28</v>
      </c>
      <c r="K60" s="30" t="s">
        <v>146</v>
      </c>
      <c r="L60" s="31">
        <v>2</v>
      </c>
      <c r="M60" s="28">
        <v>19</v>
      </c>
      <c r="N60" s="4" t="str">
        <f>VLOOKUP($M60,Pflanzenkatalog!$A$2:$AB$632,2,FALSE)</f>
        <v>Salat div.</v>
      </c>
      <c r="O60" s="30" t="str">
        <f>VLOOKUP($M60,Pflanzenkatalog!$A$2:$AB$632,3,FALSE)</f>
        <v>01.02.</v>
      </c>
      <c r="P60" s="30" t="str">
        <f>VLOOKUP($M60,Pflanzenkatalog!$A$2:$AB$632,4,FALSE)</f>
        <v>15</v>
      </c>
      <c r="Q60" s="30">
        <f>VLOOKUP($M60,Pflanzenkatalog!$A$2:$AB$632,5,FALSE)</f>
        <v>0</v>
      </c>
      <c r="R60" s="30" t="str">
        <f>VLOOKUP($M60,Pflanzenkatalog!$A$2:$AB$632,6,FALSE)</f>
        <v>0,2</v>
      </c>
      <c r="S60" s="30">
        <f>VLOOKUP($M60,Pflanzenkatalog!$A$2:$AB$632,7,FALSE)</f>
        <v>0</v>
      </c>
      <c r="T60" s="30" t="str">
        <f>VLOOKUP($M60,Pflanzenkatalog!$A$2:$AB$632,8,FALSE)</f>
        <v>01.03.-30.09.</v>
      </c>
      <c r="U60" s="30">
        <f>VLOOKUP($M60,Pflanzenkatalog!$A$2:$AB$632,9,FALSE)</f>
        <v>15</v>
      </c>
      <c r="V60" s="30">
        <f>VLOOKUP($M60,Pflanzenkatalog!$A$2:$AB$632,10,FALSE)</f>
        <v>15</v>
      </c>
      <c r="W60" s="30" t="str">
        <f>VLOOKUP($M60,Pflanzenkatalog!$A$2:$AB$632,11,FALSE)</f>
        <v>Mai</v>
      </c>
      <c r="X60" s="30">
        <f>VLOOKUP($M60,Pflanzenkatalog!$A$2:$AB$632,12,FALSE)</f>
        <v>0</v>
      </c>
      <c r="Y60" s="30">
        <f>VLOOKUP($M60,Pflanzenkatalog!$A$2:$AB$632,13,FALSE)</f>
        <v>0</v>
      </c>
      <c r="Z60" s="30">
        <f>VLOOKUP($M60,Pflanzenkatalog!$A$2:$AB$632,14,FALSE)</f>
        <v>0</v>
      </c>
      <c r="AA60" s="30">
        <f>VLOOKUP($M60,Pflanzenkatalog!$A$2:$AB$632,15,FALSE)</f>
        <v>0</v>
      </c>
      <c r="AB60" s="30">
        <f>VLOOKUP($M60,Pflanzenkatalog!$A$2:$AB$632,16,FALSE)</f>
        <v>0</v>
      </c>
      <c r="AC60" s="30">
        <f>VLOOKUP($M60,Pflanzenkatalog!$A$2:$AB$632,17,FALSE)</f>
        <v>0</v>
      </c>
      <c r="AD60" s="30">
        <f>VLOOKUP($M60,Pflanzenkatalog!$A$2:$AB$632,18,FALSE)</f>
        <v>0</v>
      </c>
      <c r="AE60" s="30">
        <f>VLOOKUP($M60,Pflanzenkatalog!$A$2:$AB$632,19,FALSE)</f>
        <v>0</v>
      </c>
      <c r="AF60" s="30" t="str">
        <f>VLOOKUP($M60,Pflanzenkatalog!$A$2:$AB$632,20,FALSE)</f>
        <v>Blatt</v>
      </c>
    </row>
    <row r="61" spans="1:32" x14ac:dyDescent="0.2">
      <c r="A61" s="4" t="s">
        <v>516</v>
      </c>
      <c r="B61" s="30" t="s">
        <v>1</v>
      </c>
      <c r="C61" s="30" t="s">
        <v>212</v>
      </c>
      <c r="D61" s="30" t="s">
        <v>195</v>
      </c>
      <c r="E61" s="30" t="s">
        <v>13</v>
      </c>
      <c r="F61" s="30">
        <v>7</v>
      </c>
      <c r="G61" s="30" t="s">
        <v>26</v>
      </c>
      <c r="H61" s="30" t="s">
        <v>437</v>
      </c>
      <c r="I61" s="30" t="s">
        <v>433</v>
      </c>
      <c r="J61" s="30" t="s">
        <v>28</v>
      </c>
      <c r="K61" s="30" t="s">
        <v>146</v>
      </c>
      <c r="L61" s="31">
        <v>2</v>
      </c>
      <c r="M61" s="28">
        <v>19</v>
      </c>
      <c r="N61" s="4" t="str">
        <f>VLOOKUP($M61,Pflanzenkatalog!$A$2:$AB$632,2,FALSE)</f>
        <v>Salat div.</v>
      </c>
      <c r="O61" s="30" t="str">
        <f>VLOOKUP($M61,Pflanzenkatalog!$A$2:$AB$632,3,FALSE)</f>
        <v>01.02.</v>
      </c>
      <c r="P61" s="30" t="str">
        <f>VLOOKUP($M61,Pflanzenkatalog!$A$2:$AB$632,4,FALSE)</f>
        <v>15</v>
      </c>
      <c r="Q61" s="30">
        <f>VLOOKUP($M61,Pflanzenkatalog!$A$2:$AB$632,5,FALSE)</f>
        <v>0</v>
      </c>
      <c r="R61" s="30" t="str">
        <f>VLOOKUP($M61,Pflanzenkatalog!$A$2:$AB$632,6,FALSE)</f>
        <v>0,2</v>
      </c>
      <c r="S61" s="30">
        <f>VLOOKUP($M61,Pflanzenkatalog!$A$2:$AB$632,7,FALSE)</f>
        <v>0</v>
      </c>
      <c r="T61" s="30" t="str">
        <f>VLOOKUP($M61,Pflanzenkatalog!$A$2:$AB$632,8,FALSE)</f>
        <v>01.03.-30.09.</v>
      </c>
      <c r="U61" s="30">
        <f>VLOOKUP($M61,Pflanzenkatalog!$A$2:$AB$632,9,FALSE)</f>
        <v>15</v>
      </c>
      <c r="V61" s="30">
        <f>VLOOKUP($M61,Pflanzenkatalog!$A$2:$AB$632,10,FALSE)</f>
        <v>15</v>
      </c>
      <c r="W61" s="30" t="str">
        <f>VLOOKUP($M61,Pflanzenkatalog!$A$2:$AB$632,11,FALSE)</f>
        <v>Mai</v>
      </c>
      <c r="X61" s="30">
        <f>VLOOKUP($M61,Pflanzenkatalog!$A$2:$AB$632,12,FALSE)</f>
        <v>0</v>
      </c>
      <c r="Y61" s="30">
        <f>VLOOKUP($M61,Pflanzenkatalog!$A$2:$AB$632,13,FALSE)</f>
        <v>0</v>
      </c>
      <c r="Z61" s="30">
        <f>VLOOKUP($M61,Pflanzenkatalog!$A$2:$AB$632,14,FALSE)</f>
        <v>0</v>
      </c>
      <c r="AA61" s="30">
        <f>VLOOKUP($M61,Pflanzenkatalog!$A$2:$AB$632,15,FALSE)</f>
        <v>0</v>
      </c>
      <c r="AB61" s="30">
        <f>VLOOKUP($M61,Pflanzenkatalog!$A$2:$AB$632,16,FALSE)</f>
        <v>0</v>
      </c>
      <c r="AC61" s="30">
        <f>VLOOKUP($M61,Pflanzenkatalog!$A$2:$AB$632,17,FALSE)</f>
        <v>0</v>
      </c>
      <c r="AD61" s="30">
        <f>VLOOKUP($M61,Pflanzenkatalog!$A$2:$AB$632,18,FALSE)</f>
        <v>0</v>
      </c>
      <c r="AE61" s="30">
        <f>VLOOKUP($M61,Pflanzenkatalog!$A$2:$AB$632,19,FALSE)</f>
        <v>0</v>
      </c>
      <c r="AF61" s="30" t="str">
        <f>VLOOKUP($M61,Pflanzenkatalog!$A$2:$AB$632,20,FALSE)</f>
        <v>Blatt</v>
      </c>
    </row>
    <row r="62" spans="1:32" x14ac:dyDescent="0.2">
      <c r="A62" s="4" t="s">
        <v>517</v>
      </c>
      <c r="B62" s="30" t="s">
        <v>1</v>
      </c>
      <c r="C62" s="30" t="s">
        <v>212</v>
      </c>
      <c r="D62" s="30" t="s">
        <v>195</v>
      </c>
      <c r="E62" s="30" t="s">
        <v>13</v>
      </c>
      <c r="F62" s="30">
        <v>7</v>
      </c>
      <c r="G62" s="30" t="s">
        <v>26</v>
      </c>
      <c r="H62" s="30" t="s">
        <v>438</v>
      </c>
      <c r="I62" s="30" t="s">
        <v>433</v>
      </c>
      <c r="J62" s="30" t="s">
        <v>28</v>
      </c>
      <c r="K62" s="30" t="s">
        <v>146</v>
      </c>
      <c r="L62" s="31">
        <v>2</v>
      </c>
      <c r="M62" s="28">
        <v>22</v>
      </c>
      <c r="N62" s="4" t="str">
        <f>VLOOKUP($M62,Pflanzenkatalog!$A$2:$AB$632,2,FALSE)</f>
        <v>Kräuter div.</v>
      </c>
      <c r="O62" s="30">
        <f>VLOOKUP($M62,Pflanzenkatalog!$A$2:$AB$632,3,FALSE)</f>
        <v>0</v>
      </c>
      <c r="P62" s="30">
        <f>VLOOKUP($M62,Pflanzenkatalog!$A$2:$AB$632,4,FALSE)</f>
        <v>0</v>
      </c>
      <c r="Q62" s="30">
        <f>VLOOKUP($M62,Pflanzenkatalog!$A$2:$AB$632,5,FALSE)</f>
        <v>0</v>
      </c>
      <c r="R62" s="30">
        <f>VLOOKUP($M62,Pflanzenkatalog!$A$2:$AB$632,6,FALSE)</f>
        <v>0</v>
      </c>
      <c r="S62" s="30">
        <f>VLOOKUP($M62,Pflanzenkatalog!$A$2:$AB$632,7,FALSE)</f>
        <v>0</v>
      </c>
      <c r="T62" s="30" t="str">
        <f>VLOOKUP($M62,Pflanzenkatalog!$A$2:$AB$632,8,FALSE)</f>
        <v>nein</v>
      </c>
      <c r="U62" s="30">
        <f>VLOOKUP($M62,Pflanzenkatalog!$A$2:$AB$632,9,FALSE)</f>
        <v>0</v>
      </c>
      <c r="V62" s="30">
        <f>VLOOKUP($M62,Pflanzenkatalog!$A$2:$AB$632,10,FALSE)</f>
        <v>0</v>
      </c>
      <c r="W62" s="30">
        <f>VLOOKUP($M62,Pflanzenkatalog!$A$2:$AB$632,11,FALSE)</f>
        <v>0</v>
      </c>
      <c r="X62" s="30">
        <f>VLOOKUP($M62,Pflanzenkatalog!$A$2:$AB$632,12,FALSE)</f>
        <v>0</v>
      </c>
      <c r="Y62" s="30">
        <f>VLOOKUP($M62,Pflanzenkatalog!$A$2:$AB$632,13,FALSE)</f>
        <v>0</v>
      </c>
      <c r="Z62" s="30">
        <f>VLOOKUP($M62,Pflanzenkatalog!$A$2:$AB$632,14,FALSE)</f>
        <v>0</v>
      </c>
      <c r="AA62" s="30">
        <f>VLOOKUP($M62,Pflanzenkatalog!$A$2:$AB$632,15,FALSE)</f>
        <v>0</v>
      </c>
      <c r="AB62" s="30">
        <f>VLOOKUP($M62,Pflanzenkatalog!$A$2:$AB$632,16,FALSE)</f>
        <v>0</v>
      </c>
      <c r="AC62" s="30">
        <f>VLOOKUP($M62,Pflanzenkatalog!$A$2:$AB$632,17,FALSE)</f>
        <v>0</v>
      </c>
      <c r="AD62" s="30">
        <f>VLOOKUP($M62,Pflanzenkatalog!$A$2:$AB$632,18,FALSE)</f>
        <v>0</v>
      </c>
      <c r="AE62" s="30">
        <f>VLOOKUP($M62,Pflanzenkatalog!$A$2:$AB$632,19,FALSE)</f>
        <v>0</v>
      </c>
      <c r="AF62" s="30" t="str">
        <f>VLOOKUP($M62,Pflanzenkatalog!$A$2:$AB$632,20,FALSE)</f>
        <v>Kräuter</v>
      </c>
    </row>
    <row r="63" spans="1:32" x14ac:dyDescent="0.2">
      <c r="A63" s="4" t="s">
        <v>518</v>
      </c>
      <c r="B63" s="30" t="s">
        <v>1</v>
      </c>
      <c r="C63" s="30" t="s">
        <v>212</v>
      </c>
      <c r="D63" s="30" t="s">
        <v>195</v>
      </c>
      <c r="E63" s="30" t="s">
        <v>13</v>
      </c>
      <c r="F63" s="30">
        <v>7</v>
      </c>
      <c r="G63" s="30" t="s">
        <v>26</v>
      </c>
      <c r="H63" s="30" t="s">
        <v>432</v>
      </c>
      <c r="I63" s="30" t="s">
        <v>433</v>
      </c>
      <c r="J63" s="30" t="s">
        <v>28</v>
      </c>
      <c r="K63" s="30" t="s">
        <v>146</v>
      </c>
      <c r="L63" s="31">
        <v>2</v>
      </c>
      <c r="M63" s="28">
        <v>26</v>
      </c>
      <c r="N63" s="4" t="str">
        <f>VLOOKUP($M63,Pflanzenkatalog!$A$2:$AB$632,2,FALSE)</f>
        <v>Erdbeeren mix</v>
      </c>
      <c r="O63" s="30">
        <f>VLOOKUP($M63,Pflanzenkatalog!$A$2:$AB$632,3,FALSE)</f>
        <v>0</v>
      </c>
      <c r="P63" s="30">
        <f>VLOOKUP($M63,Pflanzenkatalog!$A$2:$AB$632,4,FALSE)</f>
        <v>0</v>
      </c>
      <c r="Q63" s="30">
        <f>VLOOKUP($M63,Pflanzenkatalog!$A$2:$AB$632,5,FALSE)</f>
        <v>0</v>
      </c>
      <c r="R63" s="30">
        <f>VLOOKUP($M63,Pflanzenkatalog!$A$2:$AB$632,6,FALSE)</f>
        <v>0</v>
      </c>
      <c r="S63" s="30">
        <f>VLOOKUP($M63,Pflanzenkatalog!$A$2:$AB$632,7,FALSE)</f>
        <v>0</v>
      </c>
      <c r="T63" s="30" t="str">
        <f>VLOOKUP($M63,Pflanzenkatalog!$A$2:$AB$632,8,FALSE)</f>
        <v>nein</v>
      </c>
      <c r="U63" s="30">
        <f>VLOOKUP($M63,Pflanzenkatalog!$A$2:$AB$632,9,FALSE)</f>
        <v>0</v>
      </c>
      <c r="V63" s="30">
        <f>VLOOKUP($M63,Pflanzenkatalog!$A$2:$AB$632,10,FALSE)</f>
        <v>0</v>
      </c>
      <c r="W63" s="30">
        <f>VLOOKUP($M63,Pflanzenkatalog!$A$2:$AB$632,11,FALSE)</f>
        <v>0</v>
      </c>
      <c r="X63" s="30">
        <f>VLOOKUP($M63,Pflanzenkatalog!$A$2:$AB$632,12,FALSE)</f>
        <v>0</v>
      </c>
      <c r="Y63" s="30">
        <f>VLOOKUP($M63,Pflanzenkatalog!$A$2:$AB$632,13,FALSE)</f>
        <v>0</v>
      </c>
      <c r="Z63" s="30">
        <f>VLOOKUP($M63,Pflanzenkatalog!$A$2:$AB$632,14,FALSE)</f>
        <v>0</v>
      </c>
      <c r="AA63" s="30">
        <f>VLOOKUP($M63,Pflanzenkatalog!$A$2:$AB$632,15,FALSE)</f>
        <v>0</v>
      </c>
      <c r="AB63" s="30">
        <f>VLOOKUP($M63,Pflanzenkatalog!$A$2:$AB$632,16,FALSE)</f>
        <v>0</v>
      </c>
      <c r="AC63" s="30">
        <f>VLOOKUP($M63,Pflanzenkatalog!$A$2:$AB$632,17,FALSE)</f>
        <v>0</v>
      </c>
      <c r="AD63" s="30">
        <f>VLOOKUP($M63,Pflanzenkatalog!$A$2:$AB$632,18,FALSE)</f>
        <v>0</v>
      </c>
      <c r="AE63" s="30">
        <f>VLOOKUP($M63,Pflanzenkatalog!$A$2:$AB$632,19,FALSE)</f>
        <v>0</v>
      </c>
      <c r="AF63" s="30" t="str">
        <f>VLOOKUP($M63,Pflanzenkatalog!$A$2:$AB$632,20,FALSE)</f>
        <v>Beeren</v>
      </c>
    </row>
    <row r="64" spans="1:32" x14ac:dyDescent="0.2">
      <c r="A64" s="4" t="s">
        <v>223</v>
      </c>
      <c r="B64" s="30" t="s">
        <v>1</v>
      </c>
      <c r="C64" s="30" t="s">
        <v>212</v>
      </c>
      <c r="D64" s="30" t="s">
        <v>195</v>
      </c>
      <c r="E64" s="30" t="s">
        <v>13</v>
      </c>
      <c r="F64" s="30">
        <v>7</v>
      </c>
      <c r="G64" s="30" t="s">
        <v>16</v>
      </c>
      <c r="H64" s="30" t="s">
        <v>19</v>
      </c>
      <c r="I64" s="30" t="s">
        <v>428</v>
      </c>
      <c r="J64" s="30" t="s">
        <v>28</v>
      </c>
      <c r="K64" s="30" t="s">
        <v>146</v>
      </c>
      <c r="L64" s="31">
        <v>1</v>
      </c>
      <c r="M64" s="28">
        <v>31</v>
      </c>
      <c r="N64" s="4" t="str">
        <f>VLOOKUP($M64,Pflanzenkatalog!$A$2:$AB$632,2,FALSE)</f>
        <v>Zucchini Largo Blanco Serpiente</v>
      </c>
      <c r="O64" s="30" t="str">
        <f>VLOOKUP($M64,Pflanzenkatalog!$A$2:$AB$632,3,FALSE)</f>
        <v>15.04.</v>
      </c>
      <c r="P64" s="30" t="str">
        <f>VLOOKUP($M64,Pflanzenkatalog!$A$2:$AB$632,4,FALSE)</f>
        <v>18-22</v>
      </c>
      <c r="Q64" s="30" t="str">
        <f>VLOOKUP($M64,Pflanzenkatalog!$A$2:$AB$632,5,FALSE)</f>
        <v>7-14</v>
      </c>
      <c r="R64" s="30" t="str">
        <f>VLOOKUP($M64,Pflanzenkatalog!$A$2:$AB$632,6,FALSE)</f>
        <v>2-3</v>
      </c>
      <c r="S64" s="30" t="str">
        <f>VLOOKUP($M64,Pflanzenkatalog!$A$2:$AB$632,7,FALSE)</f>
        <v>15.05.</v>
      </c>
      <c r="T64" s="30" t="str">
        <f>VLOOKUP($M64,Pflanzenkatalog!$A$2:$AB$632,8,FALSE)</f>
        <v>15.05.-15.06.</v>
      </c>
      <c r="U64" s="30">
        <f>VLOOKUP($M64,Pflanzenkatalog!$A$2:$AB$632,9,FALSE)</f>
        <v>100</v>
      </c>
      <c r="V64" s="30">
        <f>VLOOKUP($M64,Pflanzenkatalog!$A$2:$AB$632,10,FALSE)</f>
        <v>100</v>
      </c>
      <c r="W64" s="30" t="str">
        <f>VLOOKUP($M64,Pflanzenkatalog!$A$2:$AB$632,11,FALSE)</f>
        <v>Juli</v>
      </c>
      <c r="X64" s="30" t="str">
        <f>VLOOKUP($M64,Pflanzenkatalog!$A$2:$AB$632,12,FALSE)</f>
        <v>Buschig wachsend</v>
      </c>
      <c r="Y64" s="30" t="str">
        <f>VLOOKUP($M64,Pflanzenkatalog!$A$2:$AB$632,13,FALSE)</f>
        <v>Maria Arnold</v>
      </c>
      <c r="Z64" s="30" t="str">
        <f>VLOOKUP($M64,Pflanzenkatalog!$A$2:$AB$632,14,FALSE)</f>
        <v>Kopfsalat, Lauch, Möhren, Petersilie, Rettich
Radieschen, Rote Bete, Sellerie, Spinat,
Stangenbohnen, Zwiebeln</v>
      </c>
      <c r="AA64" s="30" t="str">
        <f>VLOOKUP($M64,Pflanzenkatalog!$A$2:$AB$632,15,FALSE)</f>
        <v>Borretsch, Insektenbestäubten Pflanzen, z.B. Gurken, Zucchini, Lockt Insekten an</v>
      </c>
      <c r="AB64" s="30">
        <f>VLOOKUP($M64,Pflanzenkatalog!$A$2:$AB$632,16,FALSE)</f>
        <v>0</v>
      </c>
      <c r="AC64" s="30" t="str">
        <f>VLOOKUP($M64,Pflanzenkatalog!$A$2:$AB$632,17,FALSE)</f>
        <v>Gute Drainage, gute Düngung, sonnig, warm, luftig. Hornspäne einmengen,  frostempfindlich</v>
      </c>
      <c r="AD64" s="30" t="str">
        <f>VLOOKUP($M64,Pflanzenkatalog!$A$2:$AB$632,18,FALSE)</f>
        <v>Weiße Zucchini mit augeprägtem Geschmack. Stammt aus Sizilien.
Die Pflanzen zeichnen sich durch Frühreife aus, ab Mitte Juli kann förmlich fortlaufend geernet werden.
Ganz jung bei einer Dicke von 2cm geerntet unglaublich zart, selbst später bildet sie keine harte Schale aus, sondern sie bleiben weich bei knackigem Fleisch. Die Sorte unbedingt pur probieren, fein geschnitten oder geraspelt mit Salz, Olivenöl, Pfeffer und Tomatenessig total lecker.</v>
      </c>
      <c r="AE64" s="30">
        <f>VLOOKUP($M64,Pflanzenkatalog!$A$2:$AB$632,19,FALSE)</f>
        <v>0</v>
      </c>
      <c r="AF64" s="30" t="str">
        <f>VLOOKUP($M64,Pflanzenkatalog!$A$2:$AB$632,20,FALSE)</f>
        <v>Frucht</v>
      </c>
    </row>
    <row r="65" spans="1:32" x14ac:dyDescent="0.2">
      <c r="A65" s="4" t="s">
        <v>224</v>
      </c>
      <c r="B65" s="30" t="s">
        <v>1</v>
      </c>
      <c r="C65" s="30" t="s">
        <v>212</v>
      </c>
      <c r="D65" s="30" t="s">
        <v>195</v>
      </c>
      <c r="E65" s="30" t="s">
        <v>13</v>
      </c>
      <c r="F65" s="30">
        <v>7</v>
      </c>
      <c r="G65" s="30" t="s">
        <v>16</v>
      </c>
      <c r="H65" s="30" t="s">
        <v>20</v>
      </c>
      <c r="I65" s="30" t="s">
        <v>433</v>
      </c>
      <c r="J65" s="30" t="s">
        <v>28</v>
      </c>
      <c r="K65" s="30" t="s">
        <v>146</v>
      </c>
      <c r="L65" s="31">
        <v>1</v>
      </c>
      <c r="M65" s="28" t="s">
        <v>519</v>
      </c>
      <c r="N65" s="4" t="s">
        <v>520</v>
      </c>
      <c r="O65" s="30">
        <f>VLOOKUP($M65,Pflanzenkatalog!$A$2:$AB$632,3,FALSE)</f>
        <v>0</v>
      </c>
      <c r="P65" s="30">
        <f>VLOOKUP($M65,Pflanzenkatalog!$A$2:$AB$632,4,FALSE)</f>
        <v>0</v>
      </c>
      <c r="Q65" s="30">
        <f>VLOOKUP($M65,Pflanzenkatalog!$A$2:$AB$632,5,FALSE)</f>
        <v>0</v>
      </c>
      <c r="R65" s="30">
        <f>VLOOKUP($M65,Pflanzenkatalog!$A$2:$AB$632,6,FALSE)</f>
        <v>0</v>
      </c>
      <c r="S65" s="30">
        <f>VLOOKUP($M65,Pflanzenkatalog!$A$2:$AB$632,7,FALSE)</f>
        <v>0</v>
      </c>
      <c r="T65" s="30">
        <f>VLOOKUP($M65,Pflanzenkatalog!$A$2:$AB$632,8,FALSE)</f>
        <v>0</v>
      </c>
      <c r="U65" s="30">
        <f>VLOOKUP($M65,Pflanzenkatalog!$A$2:$AB$632,9,FALSE)</f>
        <v>0</v>
      </c>
      <c r="V65" s="30">
        <f>VLOOKUP($M65,Pflanzenkatalog!$A$2:$AB$632,10,FALSE)</f>
        <v>0</v>
      </c>
      <c r="W65" s="30">
        <f>VLOOKUP($M65,Pflanzenkatalog!$A$2:$AB$632,11,FALSE)</f>
        <v>0</v>
      </c>
      <c r="X65" s="30">
        <f>VLOOKUP($M65,Pflanzenkatalog!$A$2:$AB$632,12,FALSE)</f>
        <v>0</v>
      </c>
      <c r="Y65" s="30">
        <f>VLOOKUP($M65,Pflanzenkatalog!$A$2:$AB$632,13,FALSE)</f>
        <v>0</v>
      </c>
      <c r="Z65" s="30">
        <f>VLOOKUP($M65,Pflanzenkatalog!$A$2:$AB$632,14,FALSE)</f>
        <v>0</v>
      </c>
      <c r="AA65" s="30">
        <f>VLOOKUP($M65,Pflanzenkatalog!$A$2:$AB$632,15,FALSE)</f>
        <v>0</v>
      </c>
      <c r="AB65" s="30">
        <f>VLOOKUP($M65,Pflanzenkatalog!$A$2:$AB$632,16,FALSE)</f>
        <v>0</v>
      </c>
      <c r="AC65" s="30">
        <f>VLOOKUP($M65,Pflanzenkatalog!$A$2:$AB$632,17,FALSE)</f>
        <v>0</v>
      </c>
      <c r="AD65" s="30">
        <f>VLOOKUP($M65,Pflanzenkatalog!$A$2:$AB$632,18,FALSE)</f>
        <v>0</v>
      </c>
      <c r="AE65" s="30">
        <f>VLOOKUP($M65,Pflanzenkatalog!$A$2:$AB$632,19,FALSE)</f>
        <v>0</v>
      </c>
      <c r="AF65" s="30">
        <f>VLOOKUP($M65,Pflanzenkatalog!$A$2:$AB$632,20,FALSE)</f>
        <v>0</v>
      </c>
    </row>
    <row r="66" spans="1:32" x14ac:dyDescent="0.2">
      <c r="A66" s="4" t="s">
        <v>435</v>
      </c>
      <c r="B66" s="30" t="s">
        <v>1</v>
      </c>
      <c r="C66" s="30" t="s">
        <v>212</v>
      </c>
      <c r="D66" s="30" t="s">
        <v>195</v>
      </c>
      <c r="E66" s="30" t="s">
        <v>13</v>
      </c>
      <c r="F66" s="30">
        <v>7</v>
      </c>
      <c r="G66" s="30" t="s">
        <v>16</v>
      </c>
      <c r="H66" s="30" t="s">
        <v>144</v>
      </c>
      <c r="I66" s="30" t="s">
        <v>433</v>
      </c>
      <c r="J66" s="30" t="s">
        <v>28</v>
      </c>
      <c r="K66" s="30" t="s">
        <v>146</v>
      </c>
      <c r="L66" s="31">
        <v>1</v>
      </c>
      <c r="M66" s="28" t="s">
        <v>519</v>
      </c>
      <c r="N66" s="4" t="s">
        <v>520</v>
      </c>
      <c r="O66" s="30">
        <f>VLOOKUP($M66,Pflanzenkatalog!$A$2:$AB$632,3,FALSE)</f>
        <v>0</v>
      </c>
      <c r="P66" s="30">
        <f>VLOOKUP($M66,Pflanzenkatalog!$A$2:$AB$632,4,FALSE)</f>
        <v>0</v>
      </c>
      <c r="Q66" s="30">
        <f>VLOOKUP($M66,Pflanzenkatalog!$A$2:$AB$632,5,FALSE)</f>
        <v>0</v>
      </c>
      <c r="R66" s="30">
        <f>VLOOKUP($M66,Pflanzenkatalog!$A$2:$AB$632,6,FALSE)</f>
        <v>0</v>
      </c>
      <c r="S66" s="30">
        <f>VLOOKUP($M66,Pflanzenkatalog!$A$2:$AB$632,7,FALSE)</f>
        <v>0</v>
      </c>
      <c r="T66" s="30">
        <f>VLOOKUP($M66,Pflanzenkatalog!$A$2:$AB$632,8,FALSE)</f>
        <v>0</v>
      </c>
      <c r="U66" s="30">
        <f>VLOOKUP($M66,Pflanzenkatalog!$A$2:$AB$632,9,FALSE)</f>
        <v>0</v>
      </c>
      <c r="V66" s="30">
        <f>VLOOKUP($M66,Pflanzenkatalog!$A$2:$AB$632,10,FALSE)</f>
        <v>0</v>
      </c>
      <c r="W66" s="30">
        <f>VLOOKUP($M66,Pflanzenkatalog!$A$2:$AB$632,11,FALSE)</f>
        <v>0</v>
      </c>
      <c r="X66" s="30">
        <f>VLOOKUP($M66,Pflanzenkatalog!$A$2:$AB$632,12,FALSE)</f>
        <v>0</v>
      </c>
      <c r="Y66" s="30">
        <f>VLOOKUP($M66,Pflanzenkatalog!$A$2:$AB$632,13,FALSE)</f>
        <v>0</v>
      </c>
      <c r="Z66" s="30">
        <f>VLOOKUP($M66,Pflanzenkatalog!$A$2:$AB$632,14,FALSE)</f>
        <v>0</v>
      </c>
      <c r="AA66" s="30">
        <f>VLOOKUP($M66,Pflanzenkatalog!$A$2:$AB$632,15,FALSE)</f>
        <v>0</v>
      </c>
      <c r="AB66" s="30">
        <f>VLOOKUP($M66,Pflanzenkatalog!$A$2:$AB$632,16,FALSE)</f>
        <v>0</v>
      </c>
      <c r="AC66" s="30">
        <f>VLOOKUP($M66,Pflanzenkatalog!$A$2:$AB$632,17,FALSE)</f>
        <v>0</v>
      </c>
      <c r="AD66" s="30">
        <f>VLOOKUP($M66,Pflanzenkatalog!$A$2:$AB$632,18,FALSE)</f>
        <v>0</v>
      </c>
      <c r="AE66" s="30">
        <f>VLOOKUP($M66,Pflanzenkatalog!$A$2:$AB$632,19,FALSE)</f>
        <v>0</v>
      </c>
      <c r="AF66" s="30">
        <f>VLOOKUP($M66,Pflanzenkatalog!$A$2:$AB$632,20,FALSE)</f>
        <v>0</v>
      </c>
    </row>
    <row r="67" spans="1:32" x14ac:dyDescent="0.2">
      <c r="A67" s="4" t="s">
        <v>436</v>
      </c>
      <c r="B67" s="30" t="s">
        <v>1</v>
      </c>
      <c r="C67" s="30" t="s">
        <v>212</v>
      </c>
      <c r="D67" s="30" t="s">
        <v>195</v>
      </c>
      <c r="E67" s="30" t="s">
        <v>13</v>
      </c>
      <c r="F67" s="30">
        <v>7</v>
      </c>
      <c r="G67" s="30" t="s">
        <v>16</v>
      </c>
      <c r="H67" s="30" t="s">
        <v>437</v>
      </c>
      <c r="I67" s="30" t="s">
        <v>428</v>
      </c>
      <c r="J67" s="30" t="s">
        <v>28</v>
      </c>
      <c r="K67" s="30" t="s">
        <v>146</v>
      </c>
      <c r="L67" s="31">
        <v>1</v>
      </c>
      <c r="M67" s="28">
        <v>31</v>
      </c>
      <c r="N67" s="4" t="str">
        <f>VLOOKUP($M67,Pflanzenkatalog!$A$2:$AB$632,2,FALSE)</f>
        <v>Zucchini Largo Blanco Serpiente</v>
      </c>
      <c r="O67" s="30" t="str">
        <f>VLOOKUP($M67,Pflanzenkatalog!$A$2:$AB$632,3,FALSE)</f>
        <v>15.04.</v>
      </c>
      <c r="P67" s="30" t="str">
        <f>VLOOKUP($M67,Pflanzenkatalog!$A$2:$AB$632,4,FALSE)</f>
        <v>18-22</v>
      </c>
      <c r="Q67" s="30" t="str">
        <f>VLOOKUP($M67,Pflanzenkatalog!$A$2:$AB$632,5,FALSE)</f>
        <v>7-14</v>
      </c>
      <c r="R67" s="30" t="str">
        <f>VLOOKUP($M67,Pflanzenkatalog!$A$2:$AB$632,6,FALSE)</f>
        <v>2-3</v>
      </c>
      <c r="S67" s="30" t="str">
        <f>VLOOKUP($M67,Pflanzenkatalog!$A$2:$AB$632,7,FALSE)</f>
        <v>15.05.</v>
      </c>
      <c r="T67" s="30" t="str">
        <f>VLOOKUP($M67,Pflanzenkatalog!$A$2:$AB$632,8,FALSE)</f>
        <v>15.05.-15.06.</v>
      </c>
      <c r="U67" s="30">
        <f>VLOOKUP($M67,Pflanzenkatalog!$A$2:$AB$632,9,FALSE)</f>
        <v>100</v>
      </c>
      <c r="V67" s="30">
        <f>VLOOKUP($M67,Pflanzenkatalog!$A$2:$AB$632,10,FALSE)</f>
        <v>100</v>
      </c>
      <c r="W67" s="30" t="str">
        <f>VLOOKUP($M67,Pflanzenkatalog!$A$2:$AB$632,11,FALSE)</f>
        <v>Juli</v>
      </c>
      <c r="X67" s="30" t="str">
        <f>VLOOKUP($M67,Pflanzenkatalog!$A$2:$AB$632,12,FALSE)</f>
        <v>Buschig wachsend</v>
      </c>
      <c r="Y67" s="30" t="str">
        <f>VLOOKUP($M67,Pflanzenkatalog!$A$2:$AB$632,13,FALSE)</f>
        <v>Maria Arnold</v>
      </c>
      <c r="Z67" s="30" t="str">
        <f>VLOOKUP($M67,Pflanzenkatalog!$A$2:$AB$632,14,FALSE)</f>
        <v>Kopfsalat, Lauch, Möhren, Petersilie, Rettich
Radieschen, Rote Bete, Sellerie, Spinat,
Stangenbohnen, Zwiebeln</v>
      </c>
      <c r="AA67" s="30" t="str">
        <f>VLOOKUP($M67,Pflanzenkatalog!$A$2:$AB$632,15,FALSE)</f>
        <v>Borretsch, Insektenbestäubten Pflanzen, z.B. Gurken, Zucchini, Lockt Insekten an</v>
      </c>
      <c r="AB67" s="30">
        <f>VLOOKUP($M67,Pflanzenkatalog!$A$2:$AB$632,16,FALSE)</f>
        <v>0</v>
      </c>
      <c r="AC67" s="30" t="str">
        <f>VLOOKUP($M67,Pflanzenkatalog!$A$2:$AB$632,17,FALSE)</f>
        <v>Gute Drainage, gute Düngung, sonnig, warm, luftig. Hornspäne einmengen,  frostempfindlich</v>
      </c>
      <c r="AD67" s="30" t="str">
        <f>VLOOKUP($M67,Pflanzenkatalog!$A$2:$AB$632,18,FALSE)</f>
        <v>Weiße Zucchini mit augeprägtem Geschmack. Stammt aus Sizilien.
Die Pflanzen zeichnen sich durch Frühreife aus, ab Mitte Juli kann förmlich fortlaufend geernet werden.
Ganz jung bei einer Dicke von 2cm geerntet unglaublich zart, selbst später bildet sie keine harte Schale aus, sondern sie bleiben weich bei knackigem Fleisch. Die Sorte unbedingt pur probieren, fein geschnitten oder geraspelt mit Salz, Olivenöl, Pfeffer und Tomatenessig total lecker.</v>
      </c>
      <c r="AE67" s="30">
        <f>VLOOKUP($M67,Pflanzenkatalog!$A$2:$AB$632,19,FALSE)</f>
        <v>0</v>
      </c>
      <c r="AF67" s="30" t="str">
        <f>VLOOKUP($M67,Pflanzenkatalog!$A$2:$AB$632,20,FALSE)</f>
        <v>Frucht</v>
      </c>
    </row>
    <row r="68" spans="1:32" x14ac:dyDescent="0.2">
      <c r="A68" s="4" t="s">
        <v>219</v>
      </c>
      <c r="B68" s="30" t="s">
        <v>1</v>
      </c>
      <c r="C68" s="30" t="s">
        <v>212</v>
      </c>
      <c r="D68" s="30" t="s">
        <v>195</v>
      </c>
      <c r="E68" s="30" t="s">
        <v>13</v>
      </c>
      <c r="F68" s="30">
        <v>7</v>
      </c>
      <c r="G68" s="30" t="s">
        <v>27</v>
      </c>
      <c r="H68" s="30" t="s">
        <v>19</v>
      </c>
      <c r="I68" s="30" t="s">
        <v>428</v>
      </c>
      <c r="J68" s="30" t="s">
        <v>28</v>
      </c>
      <c r="K68" s="30" t="s">
        <v>146</v>
      </c>
      <c r="L68" s="31">
        <v>1</v>
      </c>
      <c r="M68" s="28">
        <v>28</v>
      </c>
      <c r="N68" s="4" t="str">
        <f>VLOOKUP($M68,Pflanzenkatalog!$A$2:$AB$632,2,FALSE)</f>
        <v>Gurke Pappelchen</v>
      </c>
      <c r="O68" s="30" t="str">
        <f>VLOOKUP($M68,Pflanzenkatalog!$A$2:$AB$632,3,FALSE)</f>
        <v>15.04.-30.04.</v>
      </c>
      <c r="P68" s="30" t="str">
        <f>VLOOKUP($M68,Pflanzenkatalog!$A$2:$AB$632,4,FALSE)</f>
        <v>25-28</v>
      </c>
      <c r="Q68" s="30" t="str">
        <f>VLOOKUP($M68,Pflanzenkatalog!$A$2:$AB$632,5,FALSE)</f>
        <v>5-8</v>
      </c>
      <c r="R68" s="30" t="str">
        <f>VLOOKUP($M68,Pflanzenkatalog!$A$2:$AB$632,6,FALSE)</f>
        <v>2-3</v>
      </c>
      <c r="S68" s="30" t="str">
        <f>VLOOKUP($M68,Pflanzenkatalog!$A$2:$AB$632,7,FALSE)</f>
        <v>15.05.</v>
      </c>
      <c r="T68" s="30" t="str">
        <f>VLOOKUP($M68,Pflanzenkatalog!$A$2:$AB$632,8,FALSE)</f>
        <v>01.05.-30.06.</v>
      </c>
      <c r="U68" s="30">
        <f>VLOOKUP($M68,Pflanzenkatalog!$A$2:$AB$632,9,FALSE)</f>
        <v>50</v>
      </c>
      <c r="V68" s="30">
        <f>VLOOKUP($M68,Pflanzenkatalog!$A$2:$AB$632,10,FALSE)</f>
        <v>150</v>
      </c>
      <c r="W68" s="30" t="str">
        <f>VLOOKUP($M68,Pflanzenkatalog!$A$2:$AB$632,11,FALSE)</f>
        <v>Juli</v>
      </c>
      <c r="X68" s="30" t="str">
        <f>VLOOKUP($M68,Pflanzenkatalog!$A$2:$AB$632,12,FALSE)</f>
        <v>1,5 m am Gitter</v>
      </c>
      <c r="Y68" s="30" t="str">
        <f>VLOOKUP($M68,Pflanzenkatalog!$A$2:$AB$632,13,FALSE)</f>
        <v>samen hauefl</v>
      </c>
      <c r="Z68" s="30" t="str">
        <f>VLOOKUP($M68,Pflanzenkatalog!$A$2:$AB$632,14,FALSE)</f>
        <v>Bohnen, Dill, Erbsen, Fenchel, Kohl, Kopfsalat, Kümmel, Lauch, Mais, Rote Bete, Sellerie, Zwiebeln</v>
      </c>
      <c r="AA68" s="30" t="str">
        <f>VLOOKUP($M68,Pflanzenkatalog!$A$2:$AB$632,15,FALSE)</f>
        <v>Basilikum, gegen Mehltau und weiße Fliege
Borretsch, Insektenbestäubten Pflanzen, z.B. Gurken, Zucchini, Lockt Insekten an</v>
      </c>
      <c r="AB68" s="30" t="str">
        <f>VLOOKUP($M68,Pflanzenkatalog!$A$2:$AB$632,16,FALSE)</f>
        <v>Tomaten, Radieschen</v>
      </c>
      <c r="AC68" s="30" t="str">
        <f>VLOOKUP($M68,Pflanzenkatalog!$A$2:$AB$632,17,FALSE)</f>
        <v xml:space="preserve">nicht pikieren! Die Pflänzchen werden bis zum ersten Blattpaar eingesetzt. Wenn der Stiel in der Erde ist, kann er neue Wurzeln bilden. Nach dem Pflanzen die Gurken unbedingt ausgiebig gießen. Besonders schlecht ist Staunässe. </v>
      </c>
      <c r="AD68" s="30" t="str">
        <f>VLOOKUP($M68,Pflanzenkatalog!$A$2:$AB$632,18,FALSE)</f>
        <v>Kleine Salat ooder Einlegegurke mit glatter Schale, dunkelgrün, kaum bestachelt, Früchte ca. 8-12 cm lang, robust auch bei ungünstiger Witterung</v>
      </c>
      <c r="AE68" s="30">
        <f>VLOOKUP($M68,Pflanzenkatalog!$A$2:$AB$632,19,FALSE)</f>
        <v>0</v>
      </c>
      <c r="AF68" s="30" t="str">
        <f>VLOOKUP($M68,Pflanzenkatalog!$A$2:$AB$632,20,FALSE)</f>
        <v>Frucht</v>
      </c>
    </row>
    <row r="69" spans="1:32" x14ac:dyDescent="0.2">
      <c r="A69" s="4" t="s">
        <v>220</v>
      </c>
      <c r="B69" s="30" t="s">
        <v>1</v>
      </c>
      <c r="C69" s="30" t="s">
        <v>212</v>
      </c>
      <c r="D69" s="30" t="s">
        <v>195</v>
      </c>
      <c r="E69" s="30" t="s">
        <v>13</v>
      </c>
      <c r="F69" s="30">
        <v>7</v>
      </c>
      <c r="G69" s="30" t="s">
        <v>27</v>
      </c>
      <c r="H69" s="30" t="s">
        <v>20</v>
      </c>
      <c r="I69" s="30" t="s">
        <v>433</v>
      </c>
      <c r="J69" s="30" t="s">
        <v>28</v>
      </c>
      <c r="K69" s="30" t="s">
        <v>146</v>
      </c>
      <c r="L69" s="31">
        <v>1</v>
      </c>
      <c r="M69" s="28">
        <v>21</v>
      </c>
      <c r="N69" s="4" t="str">
        <f>VLOOKUP($M69,Pflanzenkatalog!$A$2:$AB$632,2,FALSE)</f>
        <v>Zwiebel Deep Purple</v>
      </c>
      <c r="O69" s="30" t="str">
        <f>VLOOKUP($M69,Pflanzenkatalog!$A$2:$AB$632,3,FALSE)</f>
        <v>01.02-31.03.</v>
      </c>
      <c r="P69" s="30" t="str">
        <f>VLOOKUP($M69,Pflanzenkatalog!$A$2:$AB$632,4,FALSE)</f>
        <v>10-20</v>
      </c>
      <c r="Q69" s="30" t="str">
        <f>VLOOKUP($M69,Pflanzenkatalog!$A$2:$AB$632,5,FALSE)</f>
        <v>14-25</v>
      </c>
      <c r="R69" s="30" t="str">
        <f>VLOOKUP($M69,Pflanzenkatalog!$A$2:$AB$632,6,FALSE)</f>
        <v>1-3</v>
      </c>
      <c r="S69" s="30" t="str">
        <f>VLOOKUP($M69,Pflanzenkatalog!$A$2:$AB$632,7,FALSE)</f>
        <v>01.04.</v>
      </c>
      <c r="T69" s="30" t="str">
        <f>VLOOKUP($M69,Pflanzenkatalog!$A$2:$AB$632,8,FALSE)</f>
        <v>01.03.-30.04.</v>
      </c>
      <c r="U69" s="30">
        <f>VLOOKUP($M69,Pflanzenkatalog!$A$2:$AB$632,9,FALSE)</f>
        <v>5</v>
      </c>
      <c r="V69" s="30">
        <f>VLOOKUP($M69,Pflanzenkatalog!$A$2:$AB$632,10,FALSE)</f>
        <v>25</v>
      </c>
      <c r="W69" s="30" t="str">
        <f>VLOOKUP($M69,Pflanzenkatalog!$A$2:$AB$632,11,FALSE)</f>
        <v>Mai</v>
      </c>
      <c r="X69" s="30" t="str">
        <f>VLOOKUP($M69,Pflanzenkatalog!$A$2:$AB$632,12,FALSE)</f>
        <v>Jungzwiebel Mai/Juni, Knolle August (wenn Laub knickt)</v>
      </c>
      <c r="Y69" s="30" t="str">
        <f>VLOOKUP($M69,Pflanzenkatalog!$A$2:$AB$632,13,FALSE)</f>
        <v>samen greisslerei</v>
      </c>
      <c r="Z69" s="30" t="str">
        <f>VLOOKUP($M69,Pflanzenkatalog!$A$2:$AB$632,14,FALSE)</f>
        <v>Bohnenkraut, Erdbeeren, Dill, Kopfsalat,
Möhren, Rote Bete</v>
      </c>
      <c r="AA69" s="30">
        <f>VLOOKUP($M69,Pflanzenkatalog!$A$2:$AB$632,15,FALSE)</f>
        <v>0</v>
      </c>
      <c r="AB69" s="30" t="str">
        <f>VLOOKUP($M69,Pflanzenkatalog!$A$2:$AB$632,16,FALSE)</f>
        <v>Bohnen, Erbsen, Kohl</v>
      </c>
      <c r="AC69" s="30" t="str">
        <f>VLOOKUP($M69,Pflanzenkatalog!$A$2:$AB$632,17,FALSE)</f>
        <v>sonnig</v>
      </c>
      <c r="AD69" s="30" t="str">
        <f>VLOOKUP($M69,Pflanzenkatalog!$A$2:$AB$632,18,FALSE)</f>
        <v>Diese Sorte zeichnet sich durch feste, dunkelrote, plattrunde bis runde Zwiebeln aus, die gut lagerfähig sind. Sie ist sehr attraktiv als Jungzwiebel, der Schaft leuchtet dunkelrot unter dem grünem Laub hervor. Gute Lagerzwiebel. Nutzung:
Jungzwiebeln, frisch oder gegart. Küchenzwiebel.</v>
      </c>
      <c r="AE69" s="30">
        <f>VLOOKUP($M69,Pflanzenkatalog!$A$2:$AB$632,19,FALSE)</f>
        <v>0</v>
      </c>
      <c r="AF69" s="30" t="str">
        <f>VLOOKUP($M69,Pflanzenkatalog!$A$2:$AB$632,20,FALSE)</f>
        <v>Zwiebel</v>
      </c>
    </row>
    <row r="70" spans="1:32" x14ac:dyDescent="0.2">
      <c r="A70" s="4" t="s">
        <v>521</v>
      </c>
      <c r="B70" s="30" t="s">
        <v>1</v>
      </c>
      <c r="C70" s="30" t="s">
        <v>212</v>
      </c>
      <c r="D70" s="30" t="s">
        <v>195</v>
      </c>
      <c r="E70" s="30" t="s">
        <v>13</v>
      </c>
      <c r="F70" s="30">
        <v>7</v>
      </c>
      <c r="G70" s="30" t="s">
        <v>27</v>
      </c>
      <c r="H70" s="30" t="s">
        <v>144</v>
      </c>
      <c r="I70" s="30" t="s">
        <v>151</v>
      </c>
      <c r="J70" s="30" t="s">
        <v>43</v>
      </c>
      <c r="K70" s="30" t="s">
        <v>146</v>
      </c>
      <c r="L70" s="31">
        <v>1</v>
      </c>
      <c r="M70" s="28">
        <v>1</v>
      </c>
      <c r="N70" s="4" t="str">
        <f>VLOOKUP($M70,Pflanzenkatalog!$A$2:$AB$632,2,FALSE)</f>
        <v>Fleischparadeiser Rotes Herz</v>
      </c>
      <c r="O70" s="30" t="str">
        <f>VLOOKUP($M70,Pflanzenkatalog!$A$2:$AB$632,3,FALSE)</f>
        <v>15.03-15.04</v>
      </c>
      <c r="P70" s="30" t="str">
        <f>VLOOKUP($M70,Pflanzenkatalog!$A$2:$AB$632,4,FALSE)</f>
        <v>20-25</v>
      </c>
      <c r="Q70" s="30" t="str">
        <f>VLOOKUP($M70,Pflanzenkatalog!$A$2:$AB$632,5,FALSE)</f>
        <v>8-10</v>
      </c>
      <c r="R70" s="30" t="str">
        <f>VLOOKUP($M70,Pflanzenkatalog!$A$2:$AB$632,6,FALSE)</f>
        <v>Licht</v>
      </c>
      <c r="S70" s="30" t="str">
        <f>VLOOKUP($M70,Pflanzenkatalog!$A$2:$AB$632,7,FALSE)</f>
        <v>15.05-31.05.</v>
      </c>
      <c r="T70" s="30" t="str">
        <f>VLOOKUP($M70,Pflanzenkatalog!$A$2:$AB$632,8,FALSE)</f>
        <v>nein</v>
      </c>
      <c r="U70" s="30">
        <f>VLOOKUP($M70,Pflanzenkatalog!$A$2:$AB$632,9,FALSE)</f>
        <v>50</v>
      </c>
      <c r="V70" s="30">
        <f>VLOOKUP($M70,Pflanzenkatalog!$A$2:$AB$632,10,FALSE)</f>
        <v>100</v>
      </c>
      <c r="W70" s="30" t="str">
        <f>VLOOKUP($M70,Pflanzenkatalog!$A$2:$AB$632,11,FALSE)</f>
        <v>August</v>
      </c>
      <c r="X70" s="30" t="str">
        <f>VLOOKUP($M70,Pflanzenkatalog!$A$2:$AB$632,12,FALSE)</f>
        <v>unbegrenzt, locker belaubt, wirkt im Jugendstadium schwach, bisweilen bräunliche Blätter die später verschwinden</v>
      </c>
      <c r="Y70" s="30" t="str">
        <f>VLOOKUP($M70,Pflanzenkatalog!$A$2:$AB$632,13,FALSE)</f>
        <v>Arche Noah</v>
      </c>
      <c r="Z70" s="30" t="str">
        <f>VLOOKUP($M70,Pflanzenkatalog!$A$2:$AB$632,14,FALSE)</f>
        <v xml:space="preserve">	Buschbohne, Knoblauch, Kohl, Kohlrabi</v>
      </c>
      <c r="AA70" s="30" t="str">
        <f>VLOOKUP($M70,Pflanzenkatalog!$A$2:$AB$632,15,FALSE)</f>
        <v>Basilikum, gegen Mehltau und weiße Fliege
Tagetes, gegen Nematoden, Viren und weiße Fliege</v>
      </c>
      <c r="AB70" s="30" t="str">
        <f>VLOOKUP($M70,Pflanzenkatalog!$A$2:$AB$632,16,FALSE)</f>
        <v>Erbse, Fenchel, Kartoffeln</v>
      </c>
      <c r="AC70" s="30" t="str">
        <f>VLOOKUP($M70,Pflanzenkatalog!$A$2:$AB$632,17,FALSE)</f>
        <v>Ausgeizen, Mulchen, warm, Schutz vor Regen, mäßig von unten gießen</v>
      </c>
      <c r="AD70" s="30" t="str">
        <f>VLOOKUP($M70,Pflanzenkatalog!$A$2:$AB$632,18,FALSE)</f>
        <v>Das rotes Ochsenherz lässt sich vielfältig verwenden, für Suppen, Saucen und Salate. Die Ausgewogenheit von Süße und Säure ergibt einen sehr guten Geschmack, herzförmig, schwach gerippt und 10-12 cm groß. Ursprünglich stammt die Sorte aus Kroatien.</v>
      </c>
      <c r="AE70" s="30">
        <f>VLOOKUP($M70,Pflanzenkatalog!$A$2:$AB$632,19,FALSE)</f>
        <v>0</v>
      </c>
      <c r="AF70" s="30" t="str">
        <f>VLOOKUP($M70,Pflanzenkatalog!$A$2:$AB$632,20,FALSE)</f>
        <v>Frucht</v>
      </c>
    </row>
    <row r="71" spans="1:32" x14ac:dyDescent="0.2">
      <c r="A71" s="4" t="s">
        <v>521</v>
      </c>
      <c r="B71" s="30" t="s">
        <v>1</v>
      </c>
      <c r="C71" s="30" t="s">
        <v>212</v>
      </c>
      <c r="D71" s="30" t="s">
        <v>195</v>
      </c>
      <c r="E71" s="30" t="s">
        <v>13</v>
      </c>
      <c r="F71" s="30">
        <v>7</v>
      </c>
      <c r="G71" s="30" t="s">
        <v>27</v>
      </c>
      <c r="H71" s="30" t="s">
        <v>144</v>
      </c>
      <c r="I71" s="30" t="s">
        <v>151</v>
      </c>
      <c r="J71" s="30" t="s">
        <v>43</v>
      </c>
      <c r="K71" s="30" t="s">
        <v>146</v>
      </c>
      <c r="L71" s="31">
        <v>1</v>
      </c>
      <c r="M71" s="28">
        <v>2</v>
      </c>
      <c r="N71" s="4" t="str">
        <f>VLOOKUP($M71,Pflanzenkatalog!$A$2:$AB$632,2,FALSE)</f>
        <v>Salatparadeiser Quedlinburger Frühe Liebe</v>
      </c>
      <c r="O71" s="30" t="str">
        <f>VLOOKUP($M71,Pflanzenkatalog!$A$2:$AB$632,3,FALSE)</f>
        <v>15.03-15.04</v>
      </c>
      <c r="P71" s="30" t="str">
        <f>VLOOKUP($M71,Pflanzenkatalog!$A$2:$AB$632,4,FALSE)</f>
        <v>20-25</v>
      </c>
      <c r="Q71" s="30" t="str">
        <f>VLOOKUP($M71,Pflanzenkatalog!$A$2:$AB$632,5,FALSE)</f>
        <v>8-10</v>
      </c>
      <c r="R71" s="30" t="str">
        <f>VLOOKUP($M71,Pflanzenkatalog!$A$2:$AB$632,6,FALSE)</f>
        <v>Licht</v>
      </c>
      <c r="S71" s="30" t="str">
        <f>VLOOKUP($M71,Pflanzenkatalog!$A$2:$AB$632,7,FALSE)</f>
        <v>15.05-31.05.</v>
      </c>
      <c r="T71" s="30" t="str">
        <f>VLOOKUP($M71,Pflanzenkatalog!$A$2:$AB$632,8,FALSE)</f>
        <v>nein</v>
      </c>
      <c r="U71" s="30">
        <f>VLOOKUP($M71,Pflanzenkatalog!$A$2:$AB$632,9,FALSE)</f>
        <v>50</v>
      </c>
      <c r="V71" s="30">
        <f>VLOOKUP($M71,Pflanzenkatalog!$A$2:$AB$632,10,FALSE)</f>
        <v>80</v>
      </c>
      <c r="W71" s="30" t="str">
        <f>VLOOKUP($M71,Pflanzenkatalog!$A$2:$AB$632,11,FALSE)</f>
        <v>Juli</v>
      </c>
      <c r="X71" s="30" t="str">
        <f>VLOOKUP($M71,Pflanzenkatalog!$A$2:$AB$632,12,FALSE)</f>
        <v>Stabtomate wächst bis 1,2 m hoch und hat kartoffelblättriges lockeres Laub</v>
      </c>
      <c r="Y71" s="30" t="str">
        <f>VLOOKUP($M71,Pflanzenkatalog!$A$2:$AB$632,13,FALSE)</f>
        <v>Arche Noah</v>
      </c>
      <c r="Z71" s="30" t="str">
        <f>VLOOKUP($M71,Pflanzenkatalog!$A$2:$AB$632,14,FALSE)</f>
        <v xml:space="preserve">	Buschbohne, Knoblauch, Kohl, Kohlrabi</v>
      </c>
      <c r="AA71" s="30" t="str">
        <f>VLOOKUP($M71,Pflanzenkatalog!$A$2:$AB$632,15,FALSE)</f>
        <v>Basilikum, gegen Mehltau und weiße Fliege
Tagetes, gegen Nematoden, Viren und weiße Fliege</v>
      </c>
      <c r="AB71" s="30" t="str">
        <f>VLOOKUP($M71,Pflanzenkatalog!$A$2:$AB$632,16,FALSE)</f>
        <v>Erbse, Fenchel, Kartoffeln</v>
      </c>
      <c r="AC71" s="30" t="str">
        <f>VLOOKUP($M71,Pflanzenkatalog!$A$2:$AB$632,17,FALSE)</f>
        <v>nicht ausgeizen, Mulchen, warm, Schutz vor Regen, mäßig von unten gießen</v>
      </c>
      <c r="AD71" s="30" t="str">
        <f>VLOOKUP($M71,Pflanzenkatalog!$A$2:$AB$632,18,FALSE)</f>
        <v>Im Salat kommt der süß-aromatische Geschmack hervorragend zur Geltung. Extrem frühreifend ist die Sorte auch für rauhere Lagen empfehlenswert.
Die roten, runden, ca. 4 cm großen Früchte kann man die ganze Saison über ernten.</v>
      </c>
      <c r="AE71" s="30">
        <f>VLOOKUP($M71,Pflanzenkatalog!$A$2:$AB$632,19,FALSE)</f>
        <v>0</v>
      </c>
      <c r="AF71" s="30" t="str">
        <f>VLOOKUP($M71,Pflanzenkatalog!$A$2:$AB$632,20,FALSE)</f>
        <v>Frucht</v>
      </c>
    </row>
    <row r="72" spans="1:32" x14ac:dyDescent="0.2">
      <c r="A72" s="4" t="s">
        <v>521</v>
      </c>
      <c r="B72" s="30" t="s">
        <v>1</v>
      </c>
      <c r="C72" s="30" t="s">
        <v>212</v>
      </c>
      <c r="D72" s="30" t="s">
        <v>195</v>
      </c>
      <c r="E72" s="30" t="s">
        <v>13</v>
      </c>
      <c r="F72" s="30">
        <v>7</v>
      </c>
      <c r="G72" s="30" t="s">
        <v>27</v>
      </c>
      <c r="H72" s="30" t="s">
        <v>144</v>
      </c>
      <c r="I72" s="30" t="s">
        <v>151</v>
      </c>
      <c r="J72" s="30" t="s">
        <v>28</v>
      </c>
      <c r="K72" s="30" t="s">
        <v>146</v>
      </c>
      <c r="L72" s="31">
        <v>1</v>
      </c>
      <c r="M72" s="28">
        <v>3</v>
      </c>
      <c r="N72" s="4" t="str">
        <f>VLOOKUP($M72,Pflanzenkatalog!$A$2:$AB$632,2,FALSE)</f>
        <v>Basilikum Genoveser</v>
      </c>
      <c r="O72" s="30" t="str">
        <f>VLOOKUP($M72,Pflanzenkatalog!$A$2:$AB$632,3,FALSE)</f>
        <v>01.01.-31.12.</v>
      </c>
      <c r="P72" s="30" t="str">
        <f>VLOOKUP($M72,Pflanzenkatalog!$A$2:$AB$632,4,FALSE)</f>
        <v>18-22</v>
      </c>
      <c r="Q72" s="30" t="str">
        <f>VLOOKUP($M72,Pflanzenkatalog!$A$2:$AB$632,5,FALSE)</f>
        <v>14-18</v>
      </c>
      <c r="R72" s="30" t="str">
        <f>VLOOKUP($M72,Pflanzenkatalog!$A$2:$AB$632,6,FALSE)</f>
        <v>Licht</v>
      </c>
      <c r="S72" s="30" t="str">
        <f>VLOOKUP($M72,Pflanzenkatalog!$A$2:$AB$632,7,FALSE)</f>
        <v>01.05.</v>
      </c>
      <c r="T72" s="30" t="str">
        <f>VLOOKUP($M72,Pflanzenkatalog!$A$2:$AB$632,8,FALSE)</f>
        <v>31.05.-31.07.</v>
      </c>
      <c r="U72" s="30">
        <f>VLOOKUP($M72,Pflanzenkatalog!$A$2:$AB$632,9,FALSE)</f>
        <v>30</v>
      </c>
      <c r="V72" s="30">
        <f>VLOOKUP($M72,Pflanzenkatalog!$A$2:$AB$632,10,FALSE)</f>
        <v>30</v>
      </c>
      <c r="W72" s="30" t="str">
        <f>VLOOKUP($M72,Pflanzenkatalog!$A$2:$AB$632,11,FALSE)</f>
        <v>Ganzjährig</v>
      </c>
      <c r="X72" s="30" t="str">
        <f>VLOOKUP($M72,Pflanzenkatalog!$A$2:$AB$632,12,FALSE)</f>
        <v>Busch bis 50 cm</v>
      </c>
      <c r="Y72" s="30" t="str">
        <f>VLOOKUP($M72,Pflanzenkatalog!$A$2:$AB$632,13,FALSE)</f>
        <v>samenmaier Bio</v>
      </c>
      <c r="Z72" s="30" t="str">
        <f>VLOOKUP($M72,Pflanzenkatalog!$A$2:$AB$632,14,FALSE)</f>
        <v>Tomaten, Gurken, Kohl	gegen Mehltau und weiße Fliege</v>
      </c>
      <c r="AA72" s="30">
        <f>VLOOKUP($M72,Pflanzenkatalog!$A$2:$AB$632,15,FALSE)</f>
        <v>0</v>
      </c>
      <c r="AB72" s="30">
        <f>VLOOKUP($M72,Pflanzenkatalog!$A$2:$AB$632,16,FALSE)</f>
        <v>0</v>
      </c>
      <c r="AC72" s="30" t="str">
        <f>VLOOKUP($M72,Pflanzenkatalog!$A$2:$AB$632,17,FALSE)</f>
        <v>sonniger Standort , durchlässiger Boden</v>
      </c>
      <c r="AD72" s="30" t="str">
        <f>VLOOKUP($M72,Pflanzenkatalog!$A$2:$AB$632,18,FALSE)</f>
        <v>Bekommt sie genügend Wärme, wächst sie sehr rasch.</v>
      </c>
      <c r="AE72" s="30">
        <f>VLOOKUP($M72,Pflanzenkatalog!$A$2:$AB$632,19,FALSE)</f>
        <v>0</v>
      </c>
      <c r="AF72" s="30" t="str">
        <f>VLOOKUP($M72,Pflanzenkatalog!$A$2:$AB$632,20,FALSE)</f>
        <v>Kräuter</v>
      </c>
    </row>
    <row r="73" spans="1:32" x14ac:dyDescent="0.2">
      <c r="A73" s="4" t="s">
        <v>226</v>
      </c>
      <c r="B73" s="30" t="s">
        <v>1</v>
      </c>
      <c r="C73" s="30" t="s">
        <v>212</v>
      </c>
      <c r="D73" s="30" t="s">
        <v>195</v>
      </c>
      <c r="E73" s="30" t="s">
        <v>225</v>
      </c>
      <c r="F73" s="30">
        <v>8</v>
      </c>
      <c r="G73" s="30" t="s">
        <v>243</v>
      </c>
      <c r="H73" s="30" t="s">
        <v>233</v>
      </c>
      <c r="I73" s="30" t="s">
        <v>225</v>
      </c>
      <c r="J73" s="30" t="s">
        <v>153</v>
      </c>
      <c r="K73" s="30" t="s">
        <v>146</v>
      </c>
      <c r="L73" s="31">
        <v>1</v>
      </c>
      <c r="M73" s="28">
        <v>27</v>
      </c>
      <c r="N73" s="4" t="str">
        <f>VLOOKUP($M73,Pflanzenkatalog!$A$2:$AB$632,2,FALSE)</f>
        <v>Gurke Melothria</v>
      </c>
      <c r="O73" s="30" t="str">
        <f>VLOOKUP($M73,Pflanzenkatalog!$A$2:$AB$632,3,FALSE)</f>
        <v>15.04.-30.04.</v>
      </c>
      <c r="P73" s="30" t="str">
        <f>VLOOKUP($M73,Pflanzenkatalog!$A$2:$AB$632,4,FALSE)</f>
        <v>25-28</v>
      </c>
      <c r="Q73" s="30" t="str">
        <f>VLOOKUP($M73,Pflanzenkatalog!$A$2:$AB$632,5,FALSE)</f>
        <v>5-8</v>
      </c>
      <c r="R73" s="30" t="str">
        <f>VLOOKUP($M73,Pflanzenkatalog!$A$2:$AB$632,6,FALSE)</f>
        <v>2-3</v>
      </c>
      <c r="S73" s="30" t="str">
        <f>VLOOKUP($M73,Pflanzenkatalog!$A$2:$AB$632,7,FALSE)</f>
        <v>15.05.</v>
      </c>
      <c r="T73" s="30" t="str">
        <f>VLOOKUP($M73,Pflanzenkatalog!$A$2:$AB$632,8,FALSE)</f>
        <v>01.05.-30.06.</v>
      </c>
      <c r="U73" s="30">
        <f>VLOOKUP($M73,Pflanzenkatalog!$A$2:$AB$632,9,FALSE)</f>
        <v>50</v>
      </c>
      <c r="V73" s="30">
        <f>VLOOKUP($M73,Pflanzenkatalog!$A$2:$AB$632,10,FALSE)</f>
        <v>150</v>
      </c>
      <c r="W73" s="30" t="str">
        <f>VLOOKUP($M73,Pflanzenkatalog!$A$2:$AB$632,11,FALSE)</f>
        <v>September</v>
      </c>
      <c r="X73" s="30" t="str">
        <f>VLOOKUP($M73,Pflanzenkatalog!$A$2:$AB$632,12,FALSE)</f>
        <v>1,5 m am Gitter</v>
      </c>
      <c r="Y73" s="30" t="str">
        <f>VLOOKUP($M73,Pflanzenkatalog!$A$2:$AB$632,13,FALSE)</f>
        <v>samen hauefl</v>
      </c>
      <c r="Z73" s="30" t="str">
        <f>VLOOKUP($M73,Pflanzenkatalog!$A$2:$AB$632,14,FALSE)</f>
        <v>Bohnen, Dill, Erbsen, Fenchel, Kohl, Kopfsalat, Kümmel, Lauch, Mais, Rote Bete, Sellerie, Zwiebeln</v>
      </c>
      <c r="AA73" s="30" t="str">
        <f>VLOOKUP($M73,Pflanzenkatalog!$A$2:$AB$632,15,FALSE)</f>
        <v>Basilikum, gegen Mehltau und weiße Fliege
Borretsch, Insektenbestäubten Pflanzen, z.B. Gurken, Zucchini, Lockt Insekten an</v>
      </c>
      <c r="AB73" s="30" t="str">
        <f>VLOOKUP($M73,Pflanzenkatalog!$A$2:$AB$632,16,FALSE)</f>
        <v>Tomaten, Radieschen</v>
      </c>
      <c r="AC73" s="30" t="str">
        <f>VLOOKUP($M73,Pflanzenkatalog!$A$2:$AB$632,17,FALSE)</f>
        <v xml:space="preserve">nicht pikieren! Die Pflänzchen werden bis zum ersten Blattpaar eingesetzt. Wenn der Stiel in der Erde ist, kann er neue Wurzeln bilden. Nach dem Pflanzen die Gurken unbedingt ausgiebig gießen. Besonders schlecht ist Staunässe. </v>
      </c>
      <c r="AD73" s="30" t="str">
        <f>VLOOKUP($M73,Pflanzenkatalog!$A$2:$AB$632,18,FALSE)</f>
        <v xml:space="preserve">Mexikanische Minigurke, grün weiß, junge Früchte roh oder zum Einlegen, auch für Topfkultur geeignet. Brauchen ein feines Rankgerüst, Früchte spät, September, Durchmesser ca. 3 cm, </v>
      </c>
      <c r="AE73" s="30">
        <f>VLOOKUP($M73,Pflanzenkatalog!$A$2:$AB$632,19,FALSE)</f>
        <v>0</v>
      </c>
      <c r="AF73" s="30" t="str">
        <f>VLOOKUP($M73,Pflanzenkatalog!$A$2:$AB$632,20,FALSE)</f>
        <v>Frucht</v>
      </c>
    </row>
    <row r="74" spans="1:32" x14ac:dyDescent="0.2">
      <c r="A74" s="4" t="s">
        <v>227</v>
      </c>
      <c r="B74" s="30" t="s">
        <v>1</v>
      </c>
      <c r="C74" s="30" t="s">
        <v>212</v>
      </c>
      <c r="D74" s="30" t="s">
        <v>195</v>
      </c>
      <c r="E74" s="30" t="s">
        <v>225</v>
      </c>
      <c r="F74" s="30">
        <v>8</v>
      </c>
      <c r="G74" s="30" t="s">
        <v>26</v>
      </c>
      <c r="H74" s="30" t="s">
        <v>245</v>
      </c>
      <c r="I74" s="30" t="s">
        <v>225</v>
      </c>
      <c r="J74" s="30" t="s">
        <v>153</v>
      </c>
      <c r="K74" s="30" t="s">
        <v>146</v>
      </c>
      <c r="L74" s="31">
        <v>2</v>
      </c>
      <c r="M74" s="28">
        <v>38</v>
      </c>
      <c r="N74" s="4" t="str">
        <f>VLOOKUP($M74,Pflanzenkatalog!$A$2:$AB$632,2,FALSE)</f>
        <v>Borretsch</v>
      </c>
      <c r="O74" s="30" t="str">
        <f>VLOOKUP($M74,Pflanzenkatalog!$A$2:$AB$632,3,FALSE)</f>
        <v>nein</v>
      </c>
      <c r="P74" s="30" t="str">
        <f>VLOOKUP($M74,Pflanzenkatalog!$A$2:$AB$632,4,FALSE)</f>
        <v>15-20</v>
      </c>
      <c r="Q74" s="30" t="str">
        <f>VLOOKUP($M74,Pflanzenkatalog!$A$2:$AB$632,5,FALSE)</f>
        <v>30-90</v>
      </c>
      <c r="R74" s="30" t="str">
        <f>VLOOKUP($M74,Pflanzenkatalog!$A$2:$AB$632,6,FALSE)</f>
        <v>1,3</v>
      </c>
      <c r="S74" s="30">
        <f>VLOOKUP($M74,Pflanzenkatalog!$A$2:$AB$632,7,FALSE)</f>
        <v>0</v>
      </c>
      <c r="T74" s="30" t="str">
        <f>VLOOKUP($M74,Pflanzenkatalog!$A$2:$AB$632,8,FALSE)</f>
        <v>01.03.-31.05.</v>
      </c>
      <c r="U74" s="30">
        <f>VLOOKUP($M74,Pflanzenkatalog!$A$2:$AB$632,9,FALSE)</f>
        <v>20</v>
      </c>
      <c r="V74" s="30">
        <f>VLOOKUP($M74,Pflanzenkatalog!$A$2:$AB$632,10,FALSE)</f>
        <v>20</v>
      </c>
      <c r="W74" s="30" t="str">
        <f>VLOOKUP($M74,Pflanzenkatalog!$A$2:$AB$632,11,FALSE)</f>
        <v>01.07.-31.08.</v>
      </c>
      <c r="X74" s="30" t="str">
        <f>VLOOKUP($M74,Pflanzenkatalog!$A$2:$AB$632,12,FALSE)</f>
        <v>einjährige Staude 90 cm</v>
      </c>
      <c r="Y74" s="30" t="str">
        <f>VLOOKUP($M74,Pflanzenkatalog!$A$2:$AB$632,13,FALSE)</f>
        <v>Thompson&amp;Morgan</v>
      </c>
      <c r="Z74" s="30">
        <f>VLOOKUP($M74,Pflanzenkatalog!$A$2:$AB$632,14,FALSE)</f>
        <v>0</v>
      </c>
      <c r="AA74" s="30">
        <f>VLOOKUP($M74,Pflanzenkatalog!$A$2:$AB$632,15,FALSE)</f>
        <v>0</v>
      </c>
      <c r="AB74" s="30">
        <f>VLOOKUP($M74,Pflanzenkatalog!$A$2:$AB$632,16,FALSE)</f>
        <v>0</v>
      </c>
      <c r="AC74" s="30" t="str">
        <f>VLOOKUP($M74,Pflanzenkatalog!$A$2:$AB$632,17,FALSE)</f>
        <v>An einem leicht schattigen, geschützten Standort mit gut durchlässigem Boden</v>
      </c>
      <c r="AD74" s="30" t="str">
        <f>VLOOKUP($M74,Pflanzenkatalog!$A$2:$AB$632,18,FALSE)</f>
        <v>lockt Insekten für die Bestäubung an, hübsch auf dem Salat</v>
      </c>
      <c r="AE74" s="30" t="str">
        <f>VLOOKUP($M74,Pflanzenkatalog!$A$2:$AB$632,19,FALSE)</f>
        <v>Forschungen zufolge ist dies eine der besten Blumen, um Honigbienen in den Garten zu locken. Eine fantastische essbare Blume: zum Kristallisieren für Kuchen, als Beigabe zu Salaten oder zum Einfrieren als Eiswürfel zum Gin &amp; Tonic. Mit einer Höhe von 90 cm bildet Borretsch einen dekorativen, selbstsäenden Hintergrund sowohl für die Gemüse- als auch Blumenrabatte.</v>
      </c>
      <c r="AF74" s="30" t="str">
        <f>VLOOKUP($M74,Pflanzenkatalog!$A$2:$AB$632,20,FALSE)</f>
        <v>Kräuter</v>
      </c>
    </row>
    <row r="75" spans="1:32" x14ac:dyDescent="0.2">
      <c r="A75" s="4" t="s">
        <v>228</v>
      </c>
      <c r="B75" s="30" t="s">
        <v>1</v>
      </c>
      <c r="C75" s="30" t="s">
        <v>212</v>
      </c>
      <c r="D75" s="30" t="s">
        <v>195</v>
      </c>
      <c r="E75" s="30" t="s">
        <v>225</v>
      </c>
      <c r="F75" s="30">
        <v>8</v>
      </c>
      <c r="G75" s="30" t="s">
        <v>244</v>
      </c>
      <c r="H75" s="30" t="s">
        <v>246</v>
      </c>
      <c r="I75" s="30" t="s">
        <v>225</v>
      </c>
      <c r="J75" s="30" t="s">
        <v>153</v>
      </c>
      <c r="K75" s="30" t="s">
        <v>146</v>
      </c>
      <c r="L75" s="31">
        <v>1</v>
      </c>
      <c r="M75" s="28">
        <v>27</v>
      </c>
      <c r="N75" s="4" t="str">
        <f>VLOOKUP($M75,Pflanzenkatalog!$A$2:$AB$632,2,FALSE)</f>
        <v>Gurke Melothria</v>
      </c>
      <c r="O75" s="30" t="str">
        <f>VLOOKUP($M75,Pflanzenkatalog!$A$2:$AB$632,3,FALSE)</f>
        <v>15.04.-30.04.</v>
      </c>
      <c r="P75" s="30" t="str">
        <f>VLOOKUP($M75,Pflanzenkatalog!$A$2:$AB$632,4,FALSE)</f>
        <v>25-28</v>
      </c>
      <c r="Q75" s="30" t="str">
        <f>VLOOKUP($M75,Pflanzenkatalog!$A$2:$AB$632,5,FALSE)</f>
        <v>5-8</v>
      </c>
      <c r="R75" s="30" t="str">
        <f>VLOOKUP($M75,Pflanzenkatalog!$A$2:$AB$632,6,FALSE)</f>
        <v>2-3</v>
      </c>
      <c r="S75" s="30" t="str">
        <f>VLOOKUP($M75,Pflanzenkatalog!$A$2:$AB$632,7,FALSE)</f>
        <v>15.05.</v>
      </c>
      <c r="T75" s="30" t="str">
        <f>VLOOKUP($M75,Pflanzenkatalog!$A$2:$AB$632,8,FALSE)</f>
        <v>01.05.-30.06.</v>
      </c>
      <c r="U75" s="30">
        <f>VLOOKUP($M75,Pflanzenkatalog!$A$2:$AB$632,9,FALSE)</f>
        <v>50</v>
      </c>
      <c r="V75" s="30">
        <f>VLOOKUP($M75,Pflanzenkatalog!$A$2:$AB$632,10,FALSE)</f>
        <v>150</v>
      </c>
      <c r="W75" s="30" t="str">
        <f>VLOOKUP($M75,Pflanzenkatalog!$A$2:$AB$632,11,FALSE)</f>
        <v>September</v>
      </c>
      <c r="X75" s="30" t="str">
        <f>VLOOKUP($M75,Pflanzenkatalog!$A$2:$AB$632,12,FALSE)</f>
        <v>1,5 m am Gitter</v>
      </c>
      <c r="Y75" s="30" t="str">
        <f>VLOOKUP($M75,Pflanzenkatalog!$A$2:$AB$632,13,FALSE)</f>
        <v>samen hauefl</v>
      </c>
      <c r="Z75" s="30" t="str">
        <f>VLOOKUP($M75,Pflanzenkatalog!$A$2:$AB$632,14,FALSE)</f>
        <v>Bohnen, Dill, Erbsen, Fenchel, Kohl, Kopfsalat, Kümmel, Lauch, Mais, Rote Bete, Sellerie, Zwiebeln</v>
      </c>
      <c r="AA75" s="30" t="str">
        <f>VLOOKUP($M75,Pflanzenkatalog!$A$2:$AB$632,15,FALSE)</f>
        <v>Basilikum, gegen Mehltau und weiße Fliege
Borretsch, Insektenbestäubten Pflanzen, z.B. Gurken, Zucchini, Lockt Insekten an</v>
      </c>
      <c r="AB75" s="30" t="str">
        <f>VLOOKUP($M75,Pflanzenkatalog!$A$2:$AB$632,16,FALSE)</f>
        <v>Tomaten, Radieschen</v>
      </c>
      <c r="AC75" s="30" t="str">
        <f>VLOOKUP($M75,Pflanzenkatalog!$A$2:$AB$632,17,FALSE)</f>
        <v xml:space="preserve">nicht pikieren! Die Pflänzchen werden bis zum ersten Blattpaar eingesetzt. Wenn der Stiel in der Erde ist, kann er neue Wurzeln bilden. Nach dem Pflanzen die Gurken unbedingt ausgiebig gießen. Besonders schlecht ist Staunässe. </v>
      </c>
      <c r="AD75" s="30" t="str">
        <f>VLOOKUP($M75,Pflanzenkatalog!$A$2:$AB$632,18,FALSE)</f>
        <v xml:space="preserve">Mexikanische Minigurke, grün weiß, junge Früchte roh oder zum Einlegen, auch für Topfkultur geeignet. Brauchen ein feines Rankgerüst, Früchte spät, September, Durchmesser ca. 3 cm, </v>
      </c>
      <c r="AE75" s="30">
        <f>VLOOKUP($M75,Pflanzenkatalog!$A$2:$AB$632,19,FALSE)</f>
        <v>0</v>
      </c>
      <c r="AF75" s="30" t="str">
        <f>VLOOKUP($M75,Pflanzenkatalog!$A$2:$AB$632,20,FALSE)</f>
        <v>Frucht</v>
      </c>
    </row>
    <row r="76" spans="1:32" x14ac:dyDescent="0.2">
      <c r="A76" s="4" t="s">
        <v>229</v>
      </c>
      <c r="B76" s="30" t="s">
        <v>1</v>
      </c>
      <c r="C76" s="30" t="s">
        <v>242</v>
      </c>
      <c r="D76" s="30" t="s">
        <v>195</v>
      </c>
      <c r="E76" s="30" t="s">
        <v>225</v>
      </c>
      <c r="F76" s="30">
        <v>9</v>
      </c>
      <c r="G76" s="30" t="s">
        <v>243</v>
      </c>
      <c r="H76" s="30" t="s">
        <v>233</v>
      </c>
      <c r="I76" s="30" t="s">
        <v>225</v>
      </c>
      <c r="J76" s="30" t="s">
        <v>43</v>
      </c>
      <c r="K76" s="30" t="s">
        <v>146</v>
      </c>
      <c r="L76" s="31">
        <v>3</v>
      </c>
      <c r="M76" s="28">
        <v>9</v>
      </c>
      <c r="N76" s="4" t="str">
        <f>VLOOKUP($M76,Pflanzenkatalog!$A$2:$AB$632,2,FALSE)</f>
        <v>Cocktailparadeiser Red Currant</v>
      </c>
      <c r="O76" s="30" t="str">
        <f>VLOOKUP($M76,Pflanzenkatalog!$A$2:$AB$632,3,FALSE)</f>
        <v>15.03-15.04</v>
      </c>
      <c r="P76" s="30" t="str">
        <f>VLOOKUP($M76,Pflanzenkatalog!$A$2:$AB$632,4,FALSE)</f>
        <v>20-25</v>
      </c>
      <c r="Q76" s="30" t="str">
        <f>VLOOKUP($M76,Pflanzenkatalog!$A$2:$AB$632,5,FALSE)</f>
        <v>8-10</v>
      </c>
      <c r="R76" s="30" t="str">
        <f>VLOOKUP($M76,Pflanzenkatalog!$A$2:$AB$632,6,FALSE)</f>
        <v>Licht</v>
      </c>
      <c r="S76" s="30" t="str">
        <f>VLOOKUP($M76,Pflanzenkatalog!$A$2:$AB$632,7,FALSE)</f>
        <v>15.05-31.05.</v>
      </c>
      <c r="T76" s="30" t="str">
        <f>VLOOKUP($M76,Pflanzenkatalog!$A$2:$AB$632,8,FALSE)</f>
        <v>nein</v>
      </c>
      <c r="U76" s="30">
        <f>VLOOKUP($M76,Pflanzenkatalog!$A$2:$AB$632,9,FALSE)</f>
        <v>50</v>
      </c>
      <c r="V76" s="30">
        <f>VLOOKUP($M76,Pflanzenkatalog!$A$2:$AB$632,10,FALSE)</f>
        <v>100</v>
      </c>
      <c r="W76" s="30" t="str">
        <f>VLOOKUP($M76,Pflanzenkatalog!$A$2:$AB$632,11,FALSE)</f>
        <v>Juni</v>
      </c>
      <c r="X76" s="30" t="str">
        <f>VLOOKUP($M76,Pflanzenkatalog!$A$2:$AB$632,12,FALSE)</f>
        <v>unbegrenzt wachsend, stark verzweigt</v>
      </c>
      <c r="Y76" s="30" t="str">
        <f>VLOOKUP($M76,Pflanzenkatalog!$A$2:$AB$632,13,FALSE)</f>
        <v>Arche Noah</v>
      </c>
      <c r="Z76" s="30" t="str">
        <f>VLOOKUP($M76,Pflanzenkatalog!$A$2:$AB$632,14,FALSE)</f>
        <v xml:space="preserve">	Buschbohne, Knoblauch, Kohl, Kohlrabi</v>
      </c>
      <c r="AA76" s="30" t="str">
        <f>VLOOKUP($M76,Pflanzenkatalog!$A$2:$AB$632,15,FALSE)</f>
        <v>Basilikum, gegen Mehltau und weiße Fliege
Tagetes, gegen Nematoden, Viren und weiße Fliege</v>
      </c>
      <c r="AB76" s="30" t="str">
        <f>VLOOKUP($M76,Pflanzenkatalog!$A$2:$AB$632,16,FALSE)</f>
        <v>Erbse, Fenchel, Kartoffeln</v>
      </c>
      <c r="AC76" s="30" t="str">
        <f>VLOOKUP($M76,Pflanzenkatalog!$A$2:$AB$632,17,FALSE)</f>
        <v>Das übliche Ausgeizen auf nur 1–3 Haupttriebe ist nicht sinnvoll. Wir empfehlen, die Pflanzen lediglich auszulichten, sonniger Standort</v>
      </c>
      <c r="AD76" s="30" t="str">
        <f>VLOOKUP($M76,Pflanzenkatalog!$A$2:$AB$632,18,FALSE)</f>
        <v xml:space="preserve">Cocktailtomate mit winzigen, max. 1,5 cm großen Früchten und süß-säuerlicherm Geschmack. </v>
      </c>
      <c r="AE76" s="30">
        <f>VLOOKUP($M76,Pflanzenkatalog!$A$2:$AB$632,19,FALSE)</f>
        <v>0</v>
      </c>
      <c r="AF76" s="30" t="str">
        <f>VLOOKUP($M76,Pflanzenkatalog!$A$2:$AB$632,20,FALSE)</f>
        <v>Frucht</v>
      </c>
    </row>
    <row r="77" spans="1:32" x14ac:dyDescent="0.2">
      <c r="A77" s="4" t="s">
        <v>234</v>
      </c>
      <c r="B77" s="30" t="s">
        <v>1</v>
      </c>
      <c r="C77" s="30" t="s">
        <v>242</v>
      </c>
      <c r="D77" s="30" t="s">
        <v>195</v>
      </c>
      <c r="E77" s="30" t="s">
        <v>225</v>
      </c>
      <c r="F77" s="30">
        <v>9</v>
      </c>
      <c r="G77" s="30" t="s">
        <v>26</v>
      </c>
      <c r="H77" s="30" t="s">
        <v>245</v>
      </c>
      <c r="I77" s="30" t="s">
        <v>225</v>
      </c>
      <c r="J77" s="30" t="s">
        <v>28</v>
      </c>
      <c r="K77" s="30" t="s">
        <v>146</v>
      </c>
      <c r="L77" s="31">
        <v>10</v>
      </c>
      <c r="M77" s="28">
        <v>21</v>
      </c>
      <c r="N77" s="4" t="str">
        <f>VLOOKUP($M77,Pflanzenkatalog!$A$2:$AB$632,2,FALSE)</f>
        <v>Zwiebel Deep Purple</v>
      </c>
      <c r="O77" s="30" t="str">
        <f>VLOOKUP($M77,Pflanzenkatalog!$A$2:$AB$632,3,FALSE)</f>
        <v>01.02-31.03.</v>
      </c>
      <c r="P77" s="30" t="str">
        <f>VLOOKUP($M77,Pflanzenkatalog!$A$2:$AB$632,4,FALSE)</f>
        <v>10-20</v>
      </c>
      <c r="Q77" s="30" t="str">
        <f>VLOOKUP($M77,Pflanzenkatalog!$A$2:$AB$632,5,FALSE)</f>
        <v>14-25</v>
      </c>
      <c r="R77" s="30" t="str">
        <f>VLOOKUP($M77,Pflanzenkatalog!$A$2:$AB$632,6,FALSE)</f>
        <v>1-3</v>
      </c>
      <c r="S77" s="30" t="str">
        <f>VLOOKUP($M77,Pflanzenkatalog!$A$2:$AB$632,7,FALSE)</f>
        <v>01.04.</v>
      </c>
      <c r="T77" s="30" t="str">
        <f>VLOOKUP($M77,Pflanzenkatalog!$A$2:$AB$632,8,FALSE)</f>
        <v>01.03.-30.04.</v>
      </c>
      <c r="U77" s="30">
        <f>VLOOKUP($M77,Pflanzenkatalog!$A$2:$AB$632,9,FALSE)</f>
        <v>5</v>
      </c>
      <c r="V77" s="30">
        <f>VLOOKUP($M77,Pflanzenkatalog!$A$2:$AB$632,10,FALSE)</f>
        <v>25</v>
      </c>
      <c r="W77" s="30" t="str">
        <f>VLOOKUP($M77,Pflanzenkatalog!$A$2:$AB$632,11,FALSE)</f>
        <v>Mai</v>
      </c>
      <c r="X77" s="30" t="str">
        <f>VLOOKUP($M77,Pflanzenkatalog!$A$2:$AB$632,12,FALSE)</f>
        <v>Jungzwiebel Mai/Juni, Knolle August (wenn Laub knickt)</v>
      </c>
      <c r="Y77" s="30" t="str">
        <f>VLOOKUP($M77,Pflanzenkatalog!$A$2:$AB$632,13,FALSE)</f>
        <v>samen greisslerei</v>
      </c>
      <c r="Z77" s="30" t="str">
        <f>VLOOKUP($M77,Pflanzenkatalog!$A$2:$AB$632,14,FALSE)</f>
        <v>Bohnenkraut, Erdbeeren, Dill, Kopfsalat,
Möhren, Rote Bete</v>
      </c>
      <c r="AA77" s="30">
        <f>VLOOKUP($M77,Pflanzenkatalog!$A$2:$AB$632,15,FALSE)</f>
        <v>0</v>
      </c>
      <c r="AB77" s="30" t="str">
        <f>VLOOKUP($M77,Pflanzenkatalog!$A$2:$AB$632,16,FALSE)</f>
        <v>Bohnen, Erbsen, Kohl</v>
      </c>
      <c r="AC77" s="30" t="str">
        <f>VLOOKUP($M77,Pflanzenkatalog!$A$2:$AB$632,17,FALSE)</f>
        <v>sonnig</v>
      </c>
      <c r="AD77" s="30" t="str">
        <f>VLOOKUP($M77,Pflanzenkatalog!$A$2:$AB$632,18,FALSE)</f>
        <v>Diese Sorte zeichnet sich durch feste, dunkelrote, plattrunde bis runde Zwiebeln aus, die gut lagerfähig sind. Sie ist sehr attraktiv als Jungzwiebel, der Schaft leuchtet dunkelrot unter dem grünem Laub hervor. Gute Lagerzwiebel. Nutzung:
Jungzwiebeln, frisch oder gegart. Küchenzwiebel.</v>
      </c>
      <c r="AE77" s="30">
        <f>VLOOKUP($M77,Pflanzenkatalog!$A$2:$AB$632,19,FALSE)</f>
        <v>0</v>
      </c>
      <c r="AF77" s="30" t="str">
        <f>VLOOKUP($M77,Pflanzenkatalog!$A$2:$AB$632,20,FALSE)</f>
        <v>Zwiebel</v>
      </c>
    </row>
    <row r="78" spans="1:32" x14ac:dyDescent="0.2">
      <c r="A78" s="4" t="s">
        <v>235</v>
      </c>
      <c r="B78" s="30" t="s">
        <v>1</v>
      </c>
      <c r="C78" s="30" t="s">
        <v>242</v>
      </c>
      <c r="D78" s="30" t="s">
        <v>195</v>
      </c>
      <c r="E78" s="30" t="s">
        <v>225</v>
      </c>
      <c r="F78" s="30">
        <v>9</v>
      </c>
      <c r="G78" s="30" t="s">
        <v>244</v>
      </c>
      <c r="H78" s="30" t="s">
        <v>246</v>
      </c>
      <c r="I78" s="30" t="s">
        <v>225</v>
      </c>
      <c r="J78" s="30" t="s">
        <v>101</v>
      </c>
      <c r="K78" s="30" t="s">
        <v>146</v>
      </c>
      <c r="L78" s="31">
        <v>3</v>
      </c>
      <c r="M78" s="28">
        <v>29</v>
      </c>
      <c r="N78" s="4" t="str">
        <f>VLOOKUP($M78,Pflanzenkatalog!$A$2:$AB$632,2,FALSE)</f>
        <v>Cocktailparadeiser Gelbe Johannisbeere</v>
      </c>
      <c r="O78" s="30" t="str">
        <f>VLOOKUP($M78,Pflanzenkatalog!$A$2:$AB$632,3,FALSE)</f>
        <v>01.02-31.03.</v>
      </c>
      <c r="P78" s="30" t="str">
        <f>VLOOKUP($M78,Pflanzenkatalog!$A$2:$AB$632,4,FALSE)</f>
        <v>20-22</v>
      </c>
      <c r="Q78" s="30" t="str">
        <f>VLOOKUP($M78,Pflanzenkatalog!$A$2:$AB$632,5,FALSE)</f>
        <v>8-10</v>
      </c>
      <c r="R78" s="30" t="str">
        <f>VLOOKUP($M78,Pflanzenkatalog!$A$2:$AB$632,6,FALSE)</f>
        <v>Licht</v>
      </c>
      <c r="S78" s="30" t="str">
        <f>VLOOKUP($M78,Pflanzenkatalog!$A$2:$AB$632,7,FALSE)</f>
        <v>15.05-31.05.</v>
      </c>
      <c r="T78" s="30" t="str">
        <f>VLOOKUP($M78,Pflanzenkatalog!$A$2:$AB$632,8,FALSE)</f>
        <v>nein</v>
      </c>
      <c r="U78" s="30">
        <f>VLOOKUP($M78,Pflanzenkatalog!$A$2:$AB$632,9,FALSE)</f>
        <v>50</v>
      </c>
      <c r="V78" s="30">
        <f>VLOOKUP($M78,Pflanzenkatalog!$A$2:$AB$632,10,FALSE)</f>
        <v>100</v>
      </c>
      <c r="W78" s="30" t="str">
        <f>VLOOKUP($M78,Pflanzenkatalog!$A$2:$AB$632,11,FALSE)</f>
        <v>Juli</v>
      </c>
      <c r="X78" s="30" t="str">
        <f>VLOOKUP($M78,Pflanzenkatalog!$A$2:$AB$632,12,FALSE)</f>
        <v>Stark verzweigte, buschförmig, lange Rispen mit massenhaft Früchte</v>
      </c>
      <c r="Y78" s="30" t="str">
        <f>VLOOKUP($M78,Pflanzenkatalog!$A$2:$AB$632,13,FALSE)</f>
        <v>REINSAAT</v>
      </c>
      <c r="Z78" s="30" t="str">
        <f>VLOOKUP($M78,Pflanzenkatalog!$A$2:$AB$632,14,FALSE)</f>
        <v xml:space="preserve">	Buschbohne, Knoblauch, Kohl, Kohlrabi</v>
      </c>
      <c r="AA78" s="30" t="str">
        <f>VLOOKUP($M78,Pflanzenkatalog!$A$2:$AB$632,15,FALSE)</f>
        <v>Basilikum, gegen Mehltau und weiße Fliege
Tagetes, gegen Nematoden, Viren und weiße Fliege</v>
      </c>
      <c r="AB78" s="30" t="str">
        <f>VLOOKUP($M78,Pflanzenkatalog!$A$2:$AB$632,16,FALSE)</f>
        <v>Erbse, Fenchel, Kartoffeln</v>
      </c>
      <c r="AC78" s="30" t="str">
        <f>VLOOKUP($M78,Pflanzenkatalog!$A$2:$AB$632,17,FALSE)</f>
        <v>nicht ausgeizen, sonniger Standort</v>
      </c>
      <c r="AD78" s="30" t="str">
        <f>VLOOKUP($M78,Pflanzenkatalog!$A$2:$AB$632,18,FALSE)</f>
        <v>Stark verzweigte, buschförmig wachsende Wildtomate aus der EHZ von ReinSaat. Bildet an langen Rispen massenhaft runde, kleine, gelbe Früchte mit süßem, kräftigem Wild- tomatenaroma. Pflanzen müssen nur nicht ausgegeizt werden. Ideale Naschtomate für die Topfkultur auf Balkon und Terrasse.</v>
      </c>
      <c r="AE78" s="30">
        <f>VLOOKUP($M78,Pflanzenkatalog!$A$2:$AB$632,19,FALSE)</f>
        <v>0</v>
      </c>
      <c r="AF78" s="30" t="str">
        <f>VLOOKUP($M78,Pflanzenkatalog!$A$2:$AB$632,20,FALSE)</f>
        <v>Frucht</v>
      </c>
    </row>
    <row r="79" spans="1:32" x14ac:dyDescent="0.2">
      <c r="A79" s="4" t="s">
        <v>230</v>
      </c>
      <c r="B79" s="30" t="s">
        <v>1</v>
      </c>
      <c r="C79" s="30" t="s">
        <v>242</v>
      </c>
      <c r="D79" s="30" t="s">
        <v>6</v>
      </c>
      <c r="E79" s="30" t="s">
        <v>225</v>
      </c>
      <c r="F79" s="30">
        <v>10</v>
      </c>
      <c r="G79" s="30" t="s">
        <v>243</v>
      </c>
      <c r="H79" s="30" t="s">
        <v>233</v>
      </c>
      <c r="I79" s="30" t="s">
        <v>225</v>
      </c>
      <c r="J79" s="30" t="s">
        <v>101</v>
      </c>
      <c r="K79" s="30" t="s">
        <v>146</v>
      </c>
      <c r="L79" s="31">
        <v>2</v>
      </c>
      <c r="M79" s="28">
        <v>6</v>
      </c>
      <c r="N79" s="4" t="str">
        <f>VLOOKUP($M79,Pflanzenkatalog!$A$2:$AB$632,2,FALSE)</f>
        <v>Cocktailparadeiser Golden Perfection</v>
      </c>
      <c r="O79" s="30" t="str">
        <f>VLOOKUP($M79,Pflanzenkatalog!$A$2:$AB$632,3,FALSE)</f>
        <v>15.03-15.04</v>
      </c>
      <c r="P79" s="30" t="str">
        <f>VLOOKUP($M79,Pflanzenkatalog!$A$2:$AB$632,4,FALSE)</f>
        <v>20-25</v>
      </c>
      <c r="Q79" s="30" t="str">
        <f>VLOOKUP($M79,Pflanzenkatalog!$A$2:$AB$632,5,FALSE)</f>
        <v>8-10</v>
      </c>
      <c r="R79" s="30" t="str">
        <f>VLOOKUP($M79,Pflanzenkatalog!$A$2:$AB$632,6,FALSE)</f>
        <v>Licht</v>
      </c>
      <c r="S79" s="30" t="str">
        <f>VLOOKUP($M79,Pflanzenkatalog!$A$2:$AB$632,7,FALSE)</f>
        <v>15.05-31.05.</v>
      </c>
      <c r="T79" s="30" t="str">
        <f>VLOOKUP($M79,Pflanzenkatalog!$A$2:$AB$632,8,FALSE)</f>
        <v>nein</v>
      </c>
      <c r="U79" s="30">
        <f>VLOOKUP($M79,Pflanzenkatalog!$A$2:$AB$632,9,FALSE)</f>
        <v>50</v>
      </c>
      <c r="V79" s="30">
        <f>VLOOKUP($M79,Pflanzenkatalog!$A$2:$AB$632,10,FALSE)</f>
        <v>100</v>
      </c>
      <c r="W79" s="30" t="str">
        <f>VLOOKUP($M79,Pflanzenkatalog!$A$2:$AB$632,11,FALSE)</f>
        <v>Juni</v>
      </c>
      <c r="X79" s="30" t="str">
        <f>VLOOKUP($M79,Pflanzenkatalog!$A$2:$AB$632,12,FALSE)</f>
        <v>unbegrenzt</v>
      </c>
      <c r="Y79" s="30" t="str">
        <f>VLOOKUP($M79,Pflanzenkatalog!$A$2:$AB$632,13,FALSE)</f>
        <v>Arche Noah</v>
      </c>
      <c r="Z79" s="30" t="str">
        <f>VLOOKUP($M79,Pflanzenkatalog!$A$2:$AB$632,14,FALSE)</f>
        <v xml:space="preserve">	Buschbohne, Knoblauch, Kohl, Kohlrabi</v>
      </c>
      <c r="AA79" s="30" t="str">
        <f>VLOOKUP($M79,Pflanzenkatalog!$A$2:$AB$632,15,FALSE)</f>
        <v>Basilikum, gegen Mehltau und weiße Fliege
Tagetes, gegen Nematoden, Viren und weiße Fliege</v>
      </c>
      <c r="AB79" s="30" t="str">
        <f>VLOOKUP($M79,Pflanzenkatalog!$A$2:$AB$632,16,FALSE)</f>
        <v>Erbse, Fenchel, Kartoffeln</v>
      </c>
      <c r="AC79" s="30" t="str">
        <f>VLOOKUP($M79,Pflanzenkatalog!$A$2:$AB$632,17,FALSE)</f>
        <v>sonniger Standort</v>
      </c>
      <c r="AD79" s="30" t="str">
        <f>VLOOKUP($M79,Pflanzenkatalog!$A$2:$AB$632,18,FALSE)</f>
        <v>Goldgelbe Cocktailtomate. Die Früchte sind rund und werden ungefähr 2,5-3cm groß. Im Geschmack sehr süß und aromatisch. Unbegrenzt wachsende Pflanze, entwickelt viele Nebentriebe. Seit 1985 aus Tartu, Estland.</v>
      </c>
      <c r="AE79" s="30">
        <f>VLOOKUP($M79,Pflanzenkatalog!$A$2:$AB$632,19,FALSE)</f>
        <v>0</v>
      </c>
      <c r="AF79" s="30" t="str">
        <f>VLOOKUP($M79,Pflanzenkatalog!$A$2:$AB$632,20,FALSE)</f>
        <v>Frucht</v>
      </c>
    </row>
    <row r="80" spans="1:32" x14ac:dyDescent="0.2">
      <c r="A80" s="4" t="s">
        <v>236</v>
      </c>
      <c r="B80" s="30" t="s">
        <v>1</v>
      </c>
      <c r="C80" s="30" t="s">
        <v>242</v>
      </c>
      <c r="D80" s="30" t="s">
        <v>6</v>
      </c>
      <c r="E80" s="30" t="s">
        <v>225</v>
      </c>
      <c r="F80" s="30">
        <v>10</v>
      </c>
      <c r="G80" s="30" t="s">
        <v>26</v>
      </c>
      <c r="H80" s="30" t="s">
        <v>245</v>
      </c>
      <c r="I80" s="30" t="s">
        <v>225</v>
      </c>
      <c r="K80" s="30" t="s">
        <v>146</v>
      </c>
      <c r="L80" s="31">
        <v>1</v>
      </c>
      <c r="M80" s="28">
        <v>4</v>
      </c>
      <c r="N80" s="4" t="str">
        <f>VLOOKUP($M80,Pflanzenkatalog!$A$2:$AB$632,2,FALSE)</f>
        <v>Kohlrabi Superschmelz</v>
      </c>
      <c r="O80" s="30" t="str">
        <f>VLOOKUP($M80,Pflanzenkatalog!$A$2:$AB$632,3,FALSE)</f>
        <v>15.02.-15.03.</v>
      </c>
      <c r="P80" s="30" t="str">
        <f>VLOOKUP($M80,Pflanzenkatalog!$A$2:$AB$632,4,FALSE)</f>
        <v>16-20</v>
      </c>
      <c r="Q80" s="30" t="str">
        <f>VLOOKUP($M80,Pflanzenkatalog!$A$2:$AB$632,5,FALSE)</f>
        <v>5-8</v>
      </c>
      <c r="R80" s="30">
        <f>VLOOKUP($M80,Pflanzenkatalog!$A$2:$AB$632,6,FALSE)</f>
        <v>2</v>
      </c>
      <c r="S80" s="30" t="str">
        <f>VLOOKUP($M80,Pflanzenkatalog!$A$2:$AB$632,7,FALSE)</f>
        <v>01.04.</v>
      </c>
      <c r="T80" s="30" t="str">
        <f>VLOOKUP($M80,Pflanzenkatalog!$A$2:$AB$632,8,FALSE)</f>
        <v>01.04.-31.05.</v>
      </c>
      <c r="U80" s="30">
        <f>VLOOKUP($M80,Pflanzenkatalog!$A$2:$AB$632,9,FALSE)</f>
        <v>60</v>
      </c>
      <c r="V80" s="30">
        <f>VLOOKUP($M80,Pflanzenkatalog!$A$2:$AB$632,10,FALSE)</f>
        <v>60</v>
      </c>
      <c r="W80" s="30" t="str">
        <f>VLOOKUP($M80,Pflanzenkatalog!$A$2:$AB$632,11,FALSE)</f>
        <v>August</v>
      </c>
      <c r="X80" s="30" t="str">
        <f>VLOOKUP($M80,Pflanzenkatalog!$A$2:$AB$632,12,FALSE)</f>
        <v>Riesenkohlrabi, bis zu 8 kg</v>
      </c>
      <c r="Y80" s="30" t="str">
        <f>VLOOKUP($M80,Pflanzenkatalog!$A$2:$AB$632,13,FALSE)</f>
        <v>samenmaier Bio</v>
      </c>
      <c r="Z80" s="30" t="str">
        <f>VLOOKUP($M80,Pflanzenkatalog!$A$2:$AB$632,14,FALSE)</f>
        <v>Bohnen, Erbsen, Kartoffeln, Kopfsalat, Tomaten, Radieschen, Rote Bete, Sellerie, Spinat, Lauch</v>
      </c>
      <c r="AA80" s="30">
        <f>VLOOKUP($M80,Pflanzenkatalog!$A$2:$AB$632,15,FALSE)</f>
        <v>0</v>
      </c>
      <c r="AB80" s="30">
        <f>VLOOKUP($M80,Pflanzenkatalog!$A$2:$AB$632,16,FALSE)</f>
        <v>0</v>
      </c>
      <c r="AC80" s="30" t="str">
        <f>VLOOKUP($M80,Pflanzenkatalog!$A$2:$AB$632,17,FALSE)</f>
        <v>Frostfrei! Schatten, Knolle kein Erdkontakt wegen Schimmel. Kohlanbaufläche jährlich wechseln! Nährstoffreicher, humosen Boder. Bei Trockenheit regelmäßig gießen, damit die Kohlrabi nicht platzen. Wasser- und Nährstoffmangel führt zu Wachstumsstockungen, mehrmals düngen.</v>
      </c>
      <c r="AD80" s="30" t="str">
        <f>VLOOKUP($M80,Pflanzenkatalog!$A$2:$AB$632,18,FALSE)</f>
        <v xml:space="preserve"> Zur Lagerung und zum Tiefgefrieren bestens geeignet. Alle Kohlarten sind von allen Gemüse-Arten am längsten lagerbar und gelten als typisches Wintergemüse. Schon seit der Steinzeit wird vermutet, dass Kohl als Lebensmittel für uns gedient hat.</v>
      </c>
      <c r="AE80" s="30">
        <f>VLOOKUP($M80,Pflanzenkatalog!$A$2:$AB$632,19,FALSE)</f>
        <v>0</v>
      </c>
      <c r="AF80" s="30" t="str">
        <f>VLOOKUP($M80,Pflanzenkatalog!$A$2:$AB$632,20,FALSE)</f>
        <v>Kohl</v>
      </c>
    </row>
    <row r="81" spans="1:32" x14ac:dyDescent="0.2">
      <c r="A81" s="4" t="s">
        <v>237</v>
      </c>
      <c r="B81" s="30" t="s">
        <v>1</v>
      </c>
      <c r="C81" s="30" t="s">
        <v>242</v>
      </c>
      <c r="D81" s="30" t="s">
        <v>6</v>
      </c>
      <c r="E81" s="30" t="s">
        <v>225</v>
      </c>
      <c r="F81" s="30">
        <v>10</v>
      </c>
      <c r="G81" s="30" t="s">
        <v>244</v>
      </c>
      <c r="H81" s="30" t="s">
        <v>246</v>
      </c>
      <c r="I81" s="30" t="s">
        <v>225</v>
      </c>
      <c r="K81" s="30" t="s">
        <v>146</v>
      </c>
      <c r="L81" s="31">
        <v>1</v>
      </c>
      <c r="M81" s="28">
        <v>24</v>
      </c>
      <c r="N81" s="4" t="str">
        <f>VLOOKUP($M81,Pflanzenkatalog!$A$2:$AB$632,2,FALSE)</f>
        <v>Petersilie</v>
      </c>
      <c r="O81" s="30" t="str">
        <f>VLOOKUP($M81,Pflanzenkatalog!$A$2:$AB$632,3,FALSE)</f>
        <v>01.03.-31.08.</v>
      </c>
      <c r="P81" s="30" t="str">
        <f>VLOOKUP($M81,Pflanzenkatalog!$A$2:$AB$632,4,FALSE)</f>
        <v>18-22</v>
      </c>
      <c r="Q81" s="30" t="str">
        <f>VLOOKUP($M81,Pflanzenkatalog!$A$2:$AB$632,5,FALSE)</f>
        <v>14-28</v>
      </c>
      <c r="R81" s="30" t="str">
        <f>VLOOKUP($M81,Pflanzenkatalog!$A$2:$AB$632,6,FALSE)</f>
        <v>0,5-1</v>
      </c>
      <c r="S81" s="30" t="str">
        <f>VLOOKUP($M81,Pflanzenkatalog!$A$2:$AB$632,7,FALSE)</f>
        <v>01.03.-31.08.</v>
      </c>
      <c r="T81" s="30" t="str">
        <f>VLOOKUP($M81,Pflanzenkatalog!$A$2:$AB$632,8,FALSE)</f>
        <v>01.03.-31.08.</v>
      </c>
      <c r="U81" s="30">
        <f>VLOOKUP($M81,Pflanzenkatalog!$A$2:$AB$632,9,FALSE)</f>
        <v>30</v>
      </c>
      <c r="V81" s="30">
        <f>VLOOKUP($M81,Pflanzenkatalog!$A$2:$AB$632,10,FALSE)</f>
        <v>30</v>
      </c>
      <c r="W81" s="30" t="str">
        <f>VLOOKUP($M81,Pflanzenkatalog!$A$2:$AB$632,11,FALSE)</f>
        <v>ganzjährig im Glashaus</v>
      </c>
      <c r="X81" s="30" t="str">
        <f>VLOOKUP($M81,Pflanzenkatalog!$A$2:$AB$632,12,FALSE)</f>
        <v>Busch, Herz immer stehen lassen, 2- jährig</v>
      </c>
      <c r="Y81" s="30" t="str">
        <f>VLOOKUP($M81,Pflanzenkatalog!$A$2:$AB$632,13,FALSE)</f>
        <v>own grown</v>
      </c>
      <c r="Z81" s="30">
        <f>VLOOKUP($M81,Pflanzenkatalog!$A$2:$AB$632,14,FALSE)</f>
        <v>0</v>
      </c>
      <c r="AA81" s="30">
        <f>VLOOKUP($M81,Pflanzenkatalog!$A$2:$AB$632,15,FALSE)</f>
        <v>0</v>
      </c>
      <c r="AB81" s="30" t="str">
        <f>VLOOKUP($M81,Pflanzenkatalog!$A$2:$AB$632,16,FALSE)</f>
        <v>4 Jahreswechsel mit Doldenblütlern wie z.B. Karrotte</v>
      </c>
      <c r="AC81" s="30" t="str">
        <f>VLOOKUP($M81,Pflanzenkatalog!$A$2:$AB$632,17,FALSE)</f>
        <v xml:space="preserve">halbschattigen Orten mit lockeren, humosen Böden und feinkrümeliger Oberfläche, keine Trockenheit, doch auch Staunässe kann der Pflanze schaden. Ein durchlässiger Boden ist ebenfalls von Vorteil. </v>
      </c>
      <c r="AD81" s="30" t="str">
        <f>VLOOKUP($M81,Pflanzenkatalog!$A$2:$AB$632,18,FALSE)</f>
        <v>Wichtig ist, dass du immer das Herz der Petersilie intakt lässt. Dieses erkennst du an dem verdickten Stiel, an dessen Seite neue Blätter wachsen. Meist befindet er sich in der Mitte der Pflanze. Wenn du ganze Stängel direkt über dem Boden schneidest, kann das Kraut immer wieder neu austreiben. Achtung: Sollte deine Pflanze blühen, darfst du die Blätter jedoch nicht mehr verwenden, da sie dann schwer verdaulich sind.</v>
      </c>
      <c r="AE81" s="30">
        <f>VLOOKUP($M81,Pflanzenkatalog!$A$2:$AB$632,19,FALSE)</f>
        <v>0</v>
      </c>
      <c r="AF81" s="30" t="str">
        <f>VLOOKUP($M81,Pflanzenkatalog!$A$2:$AB$632,20,FALSE)</f>
        <v>Kräuter</v>
      </c>
    </row>
    <row r="82" spans="1:32" x14ac:dyDescent="0.2">
      <c r="A82" s="4" t="s">
        <v>231</v>
      </c>
      <c r="B82" s="30" t="s">
        <v>1</v>
      </c>
      <c r="C82" s="30" t="s">
        <v>242</v>
      </c>
      <c r="D82" s="30" t="s">
        <v>131</v>
      </c>
      <c r="E82" s="30" t="s">
        <v>225</v>
      </c>
      <c r="F82" s="30">
        <v>11</v>
      </c>
      <c r="G82" s="30" t="s">
        <v>243</v>
      </c>
      <c r="H82" s="30" t="s">
        <v>233</v>
      </c>
      <c r="I82" s="30" t="s">
        <v>225</v>
      </c>
      <c r="K82" s="30" t="s">
        <v>146</v>
      </c>
      <c r="L82" s="31">
        <v>5</v>
      </c>
      <c r="M82" s="28">
        <v>32</v>
      </c>
      <c r="N82" s="4" t="str">
        <f>VLOOKUP($M82,Pflanzenkatalog!$A$2:$AB$632,2,FALSE)</f>
        <v>Stangenbohne Cornetti Viola Trionfo</v>
      </c>
      <c r="O82" s="30" t="str">
        <f>VLOOKUP($M82,Pflanzenkatalog!$A$2:$AB$632,3,FALSE)</f>
        <v>15.04.-30.04.</v>
      </c>
      <c r="P82" s="30" t="str">
        <f>VLOOKUP($M82,Pflanzenkatalog!$A$2:$AB$632,4,FALSE)</f>
        <v>12-25</v>
      </c>
      <c r="Q82" s="30" t="str">
        <f>VLOOKUP($M82,Pflanzenkatalog!$A$2:$AB$632,5,FALSE)</f>
        <v>10-14</v>
      </c>
      <c r="R82" s="30" t="str">
        <f>VLOOKUP($M82,Pflanzenkatalog!$A$2:$AB$632,6,FALSE)</f>
        <v>3</v>
      </c>
      <c r="S82" s="30" t="str">
        <f>VLOOKUP($M82,Pflanzenkatalog!$A$2:$AB$632,7,FALSE)</f>
        <v>01.05.</v>
      </c>
      <c r="T82" s="30" t="str">
        <f>VLOOKUP($M82,Pflanzenkatalog!$A$2:$AB$632,8,FALSE)</f>
        <v>01.05.-30.06.</v>
      </c>
      <c r="U82" s="30">
        <f>VLOOKUP($M82,Pflanzenkatalog!$A$2:$AB$632,9,FALSE)</f>
        <v>10</v>
      </c>
      <c r="V82" s="30">
        <f>VLOOKUP($M82,Pflanzenkatalog!$A$2:$AB$632,10,FALSE)</f>
        <v>10</v>
      </c>
      <c r="W82" s="30" t="str">
        <f>VLOOKUP($M82,Pflanzenkatalog!$A$2:$AB$632,11,FALSE)</f>
        <v>August</v>
      </c>
      <c r="X82" s="30" t="str">
        <f>VLOOKUP($M82,Pflanzenkatalog!$A$2:$AB$632,12,FALSE)</f>
        <v>5 Bohnen pro Stange 2 m</v>
      </c>
      <c r="Y82" s="30" t="str">
        <f>VLOOKUP($M82,Pflanzenkatalog!$A$2:$AB$632,13,FALSE)</f>
        <v>Arche Noah</v>
      </c>
      <c r="Z82" s="30" t="str">
        <f>VLOOKUP($M82,Pflanzenkatalog!$A$2:$AB$632,14,FALSE)</f>
        <v>Bohnenkraut, Erdbeeren, Gurken, Sellerie, Rote Bete, Kohlarten, Kopfsalat, Pflücksalat, Tomate</v>
      </c>
      <c r="AA82" s="30" t="str">
        <f>VLOOKUP($M82,Pflanzenkatalog!$A$2:$AB$632,15,FALSE)</f>
        <v>Bohnenkraut, gegen schwarze Bohnenlaus, Duftstoffe fördern Wachstum und Aroma der Bohnen</v>
      </c>
      <c r="AB82" s="30" t="str">
        <f>VLOOKUP($M82,Pflanzenkatalog!$A$2:$AB$632,16,FALSE)</f>
        <v>Erbsen, Fenchel, Knoblauch, Lauch, Zwiebeln</v>
      </c>
      <c r="AC82" s="30" t="str">
        <f>VLOOKUP($M82,Pflanzenkatalog!$A$2:$AB$632,17,FALSE)</f>
        <v>nicht pikieren, Übernacht mit Kamillentee einweiken vor Aussaat, sonnig, mäßig feucht, wärmebedürftig, gute Vorfruchtwirkung</v>
      </c>
      <c r="AD82" s="30" t="str">
        <f>VLOOKUP($M82,Pflanzenkatalog!$A$2:$AB$632,18,FALSE)</f>
        <v>Die violetten Fisolen sind wohlschmeckend, leicht süß, mit Biss und schmecken als Salat oder Gemüse zubereitet. Die Samen sind nierenförmig, hautfarben mit grauer Sprenkelung. Die Sorte stammt aus Italien.</v>
      </c>
      <c r="AE82" s="30">
        <f>VLOOKUP($M82,Pflanzenkatalog!$A$2:$AB$632,19,FALSE)</f>
        <v>0</v>
      </c>
      <c r="AF82" s="30" t="str">
        <f>VLOOKUP($M82,Pflanzenkatalog!$A$2:$AB$632,20,FALSE)</f>
        <v>Hülse</v>
      </c>
    </row>
    <row r="83" spans="1:32" x14ac:dyDescent="0.2">
      <c r="A83" s="4" t="s">
        <v>238</v>
      </c>
      <c r="B83" s="30" t="s">
        <v>1</v>
      </c>
      <c r="C83" s="30" t="s">
        <v>242</v>
      </c>
      <c r="D83" s="30" t="s">
        <v>131</v>
      </c>
      <c r="E83" s="30" t="s">
        <v>225</v>
      </c>
      <c r="F83" s="30">
        <v>11</v>
      </c>
      <c r="G83" s="30" t="s">
        <v>26</v>
      </c>
      <c r="H83" s="30" t="s">
        <v>245</v>
      </c>
      <c r="I83" s="30" t="s">
        <v>225</v>
      </c>
      <c r="K83" s="30" t="s">
        <v>146</v>
      </c>
      <c r="L83" s="31">
        <v>5</v>
      </c>
      <c r="M83" s="28">
        <v>32</v>
      </c>
      <c r="N83" s="4" t="str">
        <f>VLOOKUP($M83,Pflanzenkatalog!$A$2:$AB$632,2,FALSE)</f>
        <v>Stangenbohne Cornetti Viola Trionfo</v>
      </c>
      <c r="O83" s="30" t="str">
        <f>VLOOKUP($M83,Pflanzenkatalog!$A$2:$AB$632,3,FALSE)</f>
        <v>15.04.-30.04.</v>
      </c>
      <c r="P83" s="30" t="str">
        <f>VLOOKUP($M83,Pflanzenkatalog!$A$2:$AB$632,4,FALSE)</f>
        <v>12-25</v>
      </c>
      <c r="Q83" s="30" t="str">
        <f>VLOOKUP($M83,Pflanzenkatalog!$A$2:$AB$632,5,FALSE)</f>
        <v>10-14</v>
      </c>
      <c r="R83" s="30" t="str">
        <f>VLOOKUP($M83,Pflanzenkatalog!$A$2:$AB$632,6,FALSE)</f>
        <v>3</v>
      </c>
      <c r="S83" s="30" t="str">
        <f>VLOOKUP($M83,Pflanzenkatalog!$A$2:$AB$632,7,FALSE)</f>
        <v>01.05.</v>
      </c>
      <c r="T83" s="30" t="str">
        <f>VLOOKUP($M83,Pflanzenkatalog!$A$2:$AB$632,8,FALSE)</f>
        <v>01.05.-30.06.</v>
      </c>
      <c r="U83" s="30">
        <f>VLOOKUP($M83,Pflanzenkatalog!$A$2:$AB$632,9,FALSE)</f>
        <v>10</v>
      </c>
      <c r="V83" s="30">
        <f>VLOOKUP($M83,Pflanzenkatalog!$A$2:$AB$632,10,FALSE)</f>
        <v>10</v>
      </c>
      <c r="W83" s="30" t="str">
        <f>VLOOKUP($M83,Pflanzenkatalog!$A$2:$AB$632,11,FALSE)</f>
        <v>August</v>
      </c>
      <c r="X83" s="30" t="str">
        <f>VLOOKUP($M83,Pflanzenkatalog!$A$2:$AB$632,12,FALSE)</f>
        <v>5 Bohnen pro Stange 2 m</v>
      </c>
      <c r="Y83" s="30" t="str">
        <f>VLOOKUP($M83,Pflanzenkatalog!$A$2:$AB$632,13,FALSE)</f>
        <v>Arche Noah</v>
      </c>
      <c r="Z83" s="30" t="str">
        <f>VLOOKUP($M83,Pflanzenkatalog!$A$2:$AB$632,14,FALSE)</f>
        <v>Bohnenkraut, Erdbeeren, Gurken, Sellerie, Rote Bete, Kohlarten, Kopfsalat, Pflücksalat, Tomate</v>
      </c>
      <c r="AA83" s="30" t="str">
        <f>VLOOKUP($M83,Pflanzenkatalog!$A$2:$AB$632,15,FALSE)</f>
        <v>Bohnenkraut, gegen schwarze Bohnenlaus, Duftstoffe fördern Wachstum und Aroma der Bohnen</v>
      </c>
      <c r="AB83" s="30" t="str">
        <f>VLOOKUP($M83,Pflanzenkatalog!$A$2:$AB$632,16,FALSE)</f>
        <v>Erbsen, Fenchel, Knoblauch, Lauch, Zwiebeln</v>
      </c>
      <c r="AC83" s="30" t="str">
        <f>VLOOKUP($M83,Pflanzenkatalog!$A$2:$AB$632,17,FALSE)</f>
        <v>nicht pikieren, Übernacht mit Kamillentee einweiken vor Aussaat, sonnig, mäßig feucht, wärmebedürftig, gute Vorfruchtwirkung</v>
      </c>
      <c r="AD83" s="30" t="str">
        <f>VLOOKUP($M83,Pflanzenkatalog!$A$2:$AB$632,18,FALSE)</f>
        <v>Die violetten Fisolen sind wohlschmeckend, leicht süß, mit Biss und schmecken als Salat oder Gemüse zubereitet. Die Samen sind nierenförmig, hautfarben mit grauer Sprenkelung. Die Sorte stammt aus Italien.</v>
      </c>
      <c r="AE83" s="30">
        <f>VLOOKUP($M83,Pflanzenkatalog!$A$2:$AB$632,19,FALSE)</f>
        <v>0</v>
      </c>
      <c r="AF83" s="30" t="str">
        <f>VLOOKUP($M83,Pflanzenkatalog!$A$2:$AB$632,20,FALSE)</f>
        <v>Hülse</v>
      </c>
    </row>
    <row r="84" spans="1:32" x14ac:dyDescent="0.2">
      <c r="A84" s="4" t="s">
        <v>239</v>
      </c>
      <c r="B84" s="30" t="s">
        <v>1</v>
      </c>
      <c r="C84" s="30" t="s">
        <v>242</v>
      </c>
      <c r="D84" s="30" t="s">
        <v>131</v>
      </c>
      <c r="E84" s="30" t="s">
        <v>225</v>
      </c>
      <c r="F84" s="30">
        <v>11</v>
      </c>
      <c r="G84" s="30" t="s">
        <v>244</v>
      </c>
      <c r="H84" s="30" t="s">
        <v>246</v>
      </c>
      <c r="I84" s="30" t="s">
        <v>225</v>
      </c>
      <c r="K84" s="30" t="s">
        <v>146</v>
      </c>
      <c r="L84" s="31">
        <v>5</v>
      </c>
      <c r="M84" s="28">
        <v>32</v>
      </c>
      <c r="N84" s="4" t="str">
        <f>VLOOKUP($M84,Pflanzenkatalog!$A$2:$AB$632,2,FALSE)</f>
        <v>Stangenbohne Cornetti Viola Trionfo</v>
      </c>
      <c r="O84" s="30" t="str">
        <f>VLOOKUP($M84,Pflanzenkatalog!$A$2:$AB$632,3,FALSE)</f>
        <v>15.04.-30.04.</v>
      </c>
      <c r="P84" s="30" t="str">
        <f>VLOOKUP($M84,Pflanzenkatalog!$A$2:$AB$632,4,FALSE)</f>
        <v>12-25</v>
      </c>
      <c r="Q84" s="30" t="str">
        <f>VLOOKUP($M84,Pflanzenkatalog!$A$2:$AB$632,5,FALSE)</f>
        <v>10-14</v>
      </c>
      <c r="R84" s="30" t="str">
        <f>VLOOKUP($M84,Pflanzenkatalog!$A$2:$AB$632,6,FALSE)</f>
        <v>3</v>
      </c>
      <c r="S84" s="30" t="str">
        <f>VLOOKUP($M84,Pflanzenkatalog!$A$2:$AB$632,7,FALSE)</f>
        <v>01.05.</v>
      </c>
      <c r="T84" s="30" t="str">
        <f>VLOOKUP($M84,Pflanzenkatalog!$A$2:$AB$632,8,FALSE)</f>
        <v>01.05.-30.06.</v>
      </c>
      <c r="U84" s="30">
        <f>VLOOKUP($M84,Pflanzenkatalog!$A$2:$AB$632,9,FALSE)</f>
        <v>10</v>
      </c>
      <c r="V84" s="30">
        <f>VLOOKUP($M84,Pflanzenkatalog!$A$2:$AB$632,10,FALSE)</f>
        <v>10</v>
      </c>
      <c r="W84" s="30" t="str">
        <f>VLOOKUP($M84,Pflanzenkatalog!$A$2:$AB$632,11,FALSE)</f>
        <v>August</v>
      </c>
      <c r="X84" s="30" t="str">
        <f>VLOOKUP($M84,Pflanzenkatalog!$A$2:$AB$632,12,FALSE)</f>
        <v>5 Bohnen pro Stange 2 m</v>
      </c>
      <c r="Y84" s="30" t="str">
        <f>VLOOKUP($M84,Pflanzenkatalog!$A$2:$AB$632,13,FALSE)</f>
        <v>Arche Noah</v>
      </c>
      <c r="Z84" s="30" t="str">
        <f>VLOOKUP($M84,Pflanzenkatalog!$A$2:$AB$632,14,FALSE)</f>
        <v>Bohnenkraut, Erdbeeren, Gurken, Sellerie, Rote Bete, Kohlarten, Kopfsalat, Pflücksalat, Tomate</v>
      </c>
      <c r="AA84" s="30" t="str">
        <f>VLOOKUP($M84,Pflanzenkatalog!$A$2:$AB$632,15,FALSE)</f>
        <v>Bohnenkraut, gegen schwarze Bohnenlaus, Duftstoffe fördern Wachstum und Aroma der Bohnen</v>
      </c>
      <c r="AB84" s="30" t="str">
        <f>VLOOKUP($M84,Pflanzenkatalog!$A$2:$AB$632,16,FALSE)</f>
        <v>Erbsen, Fenchel, Knoblauch, Lauch, Zwiebeln</v>
      </c>
      <c r="AC84" s="30" t="str">
        <f>VLOOKUP($M84,Pflanzenkatalog!$A$2:$AB$632,17,FALSE)</f>
        <v>nicht pikieren, Übernacht mit Kamillentee einweiken vor Aussaat, sonnig, mäßig feucht, wärmebedürftig, gute Vorfruchtwirkung</v>
      </c>
      <c r="AD84" s="30" t="str">
        <f>VLOOKUP($M84,Pflanzenkatalog!$A$2:$AB$632,18,FALSE)</f>
        <v>Die violetten Fisolen sind wohlschmeckend, leicht süß, mit Biss und schmecken als Salat oder Gemüse zubereitet. Die Samen sind nierenförmig, hautfarben mit grauer Sprenkelung. Die Sorte stammt aus Italien.</v>
      </c>
      <c r="AE84" s="30">
        <f>VLOOKUP($M84,Pflanzenkatalog!$A$2:$AB$632,19,FALSE)</f>
        <v>0</v>
      </c>
      <c r="AF84" s="30" t="str">
        <f>VLOOKUP($M84,Pflanzenkatalog!$A$2:$AB$632,20,FALSE)</f>
        <v>Hülse</v>
      </c>
    </row>
    <row r="85" spans="1:32" x14ac:dyDescent="0.2">
      <c r="A85" s="4" t="s">
        <v>232</v>
      </c>
      <c r="B85" s="30" t="s">
        <v>1</v>
      </c>
      <c r="C85" s="30" t="s">
        <v>242</v>
      </c>
      <c r="D85" s="30" t="s">
        <v>131</v>
      </c>
      <c r="E85" s="30" t="s">
        <v>225</v>
      </c>
      <c r="F85" s="30">
        <v>12</v>
      </c>
      <c r="G85" s="30" t="s">
        <v>243</v>
      </c>
      <c r="H85" s="30" t="s">
        <v>233</v>
      </c>
      <c r="I85" s="30" t="s">
        <v>225</v>
      </c>
      <c r="K85" s="30" t="s">
        <v>146</v>
      </c>
      <c r="L85" s="31">
        <v>5</v>
      </c>
      <c r="M85" s="28">
        <v>33</v>
      </c>
      <c r="N85" s="4" t="str">
        <f>VLOOKUP($M85,Pflanzenkatalog!$A$2:$AB$632,2,FALSE)</f>
        <v>Stangenbohne Aloisia schwarz</v>
      </c>
      <c r="O85" s="30" t="str">
        <f>VLOOKUP($M85,Pflanzenkatalog!$A$2:$AB$632,3,FALSE)</f>
        <v>15.04.-30.04.</v>
      </c>
      <c r="P85" s="30" t="str">
        <f>VLOOKUP($M85,Pflanzenkatalog!$A$2:$AB$632,4,FALSE)</f>
        <v>12-25</v>
      </c>
      <c r="Q85" s="30" t="str">
        <f>VLOOKUP($M85,Pflanzenkatalog!$A$2:$AB$632,5,FALSE)</f>
        <v>10-14</v>
      </c>
      <c r="R85" s="30" t="str">
        <f>VLOOKUP($M85,Pflanzenkatalog!$A$2:$AB$632,6,FALSE)</f>
        <v>3</v>
      </c>
      <c r="S85" s="30" t="str">
        <f>VLOOKUP($M85,Pflanzenkatalog!$A$2:$AB$632,7,FALSE)</f>
        <v>01.05.</v>
      </c>
      <c r="T85" s="30" t="str">
        <f>VLOOKUP($M85,Pflanzenkatalog!$A$2:$AB$632,8,FALSE)</f>
        <v>01.05.-30.06.</v>
      </c>
      <c r="U85" s="30">
        <f>VLOOKUP($M85,Pflanzenkatalog!$A$2:$AB$632,9,FALSE)</f>
        <v>10</v>
      </c>
      <c r="V85" s="30">
        <f>VLOOKUP($M85,Pflanzenkatalog!$A$2:$AB$632,10,FALSE)</f>
        <v>10</v>
      </c>
      <c r="W85" s="30" t="str">
        <f>VLOOKUP($M85,Pflanzenkatalog!$A$2:$AB$632,11,FALSE)</f>
        <v>August</v>
      </c>
      <c r="X85" s="30" t="str">
        <f>VLOOKUP($M85,Pflanzenkatalog!$A$2:$AB$632,12,FALSE)</f>
        <v>5 Bohnen pro Stange 2 m</v>
      </c>
      <c r="Y85" s="30" t="str">
        <f>VLOOKUP($M85,Pflanzenkatalog!$A$2:$AB$632,13,FALSE)</f>
        <v>Sorten WERKSTATT</v>
      </c>
      <c r="Z85" s="30" t="str">
        <f>VLOOKUP($M85,Pflanzenkatalog!$A$2:$AB$632,14,FALSE)</f>
        <v>Bohnenkraut, Erdbeeren, Gurken, Sellerie, Rote Bete, Kohlarten, Kopfsalat, Pflücksalat, Tomate</v>
      </c>
      <c r="AA85" s="30" t="str">
        <f>VLOOKUP($M85,Pflanzenkatalog!$A$2:$AB$632,15,FALSE)</f>
        <v>Bohnenkraut, gegen schwarze Bohnenlaus, Duftstoffe fördern Wachstum und Aroma der Bohnen</v>
      </c>
      <c r="AB85" s="30" t="str">
        <f>VLOOKUP($M85,Pflanzenkatalog!$A$2:$AB$632,16,FALSE)</f>
        <v>Erbsen, Fenchel, Knoblauch, Lauch, Zwiebeln</v>
      </c>
      <c r="AC85" s="30" t="str">
        <f>VLOOKUP($M85,Pflanzenkatalog!$A$2:$AB$632,17,FALSE)</f>
        <v>nicht pikieren, Übernacht mit Kamillentee einweiken vor Aussaat, sonnig, mäßig feucht, wärmebedürftig, gute Vorfruchtwirkung</v>
      </c>
      <c r="AD85" s="30" t="str">
        <f>VLOOKUP($M85,Pflanzenkatalog!$A$2:$AB$632,18,FALSE)</f>
        <v>Alte Sorte aus der Südsteiermark, von einer Arche Noah Erhalterin bekommen. Leicht gebogene grüne Fisolen, fadenlos, die sehr knackig sind, wenn man sie dünstet. Die schwarzen Samen kann man als Trockenbohnen nutzen. Enthält mind. 30 Samen sortenreines Saatgut.</v>
      </c>
      <c r="AE85" s="30">
        <f>VLOOKUP($M85,Pflanzenkatalog!$A$2:$AB$632,19,FALSE)</f>
        <v>0</v>
      </c>
      <c r="AF85" s="30" t="str">
        <f>VLOOKUP($M85,Pflanzenkatalog!$A$2:$AB$632,20,FALSE)</f>
        <v>Hülse</v>
      </c>
    </row>
    <row r="86" spans="1:32" x14ac:dyDescent="0.2">
      <c r="A86" s="4" t="s">
        <v>240</v>
      </c>
      <c r="B86" s="30" t="s">
        <v>1</v>
      </c>
      <c r="C86" s="30" t="s">
        <v>242</v>
      </c>
      <c r="D86" s="30" t="s">
        <v>131</v>
      </c>
      <c r="E86" s="30" t="s">
        <v>225</v>
      </c>
      <c r="F86" s="30">
        <v>12</v>
      </c>
      <c r="G86" s="30" t="s">
        <v>26</v>
      </c>
      <c r="H86" s="30" t="s">
        <v>245</v>
      </c>
      <c r="I86" s="30" t="s">
        <v>225</v>
      </c>
      <c r="K86" s="30" t="s">
        <v>146</v>
      </c>
      <c r="L86" s="31">
        <v>5</v>
      </c>
      <c r="M86" s="28">
        <v>33</v>
      </c>
      <c r="N86" s="4" t="str">
        <f>VLOOKUP($M86,Pflanzenkatalog!$A$2:$AB$632,2,FALSE)</f>
        <v>Stangenbohne Aloisia schwarz</v>
      </c>
      <c r="O86" s="30" t="str">
        <f>VLOOKUP($M86,Pflanzenkatalog!$A$2:$AB$632,3,FALSE)</f>
        <v>15.04.-30.04.</v>
      </c>
      <c r="P86" s="30" t="str">
        <f>VLOOKUP($M86,Pflanzenkatalog!$A$2:$AB$632,4,FALSE)</f>
        <v>12-25</v>
      </c>
      <c r="Q86" s="30" t="str">
        <f>VLOOKUP($M86,Pflanzenkatalog!$A$2:$AB$632,5,FALSE)</f>
        <v>10-14</v>
      </c>
      <c r="R86" s="30" t="str">
        <f>VLOOKUP($M86,Pflanzenkatalog!$A$2:$AB$632,6,FALSE)</f>
        <v>3</v>
      </c>
      <c r="S86" s="30" t="str">
        <f>VLOOKUP($M86,Pflanzenkatalog!$A$2:$AB$632,7,FALSE)</f>
        <v>01.05.</v>
      </c>
      <c r="T86" s="30" t="str">
        <f>VLOOKUP($M86,Pflanzenkatalog!$A$2:$AB$632,8,FALSE)</f>
        <v>01.05.-30.06.</v>
      </c>
      <c r="U86" s="30">
        <f>VLOOKUP($M86,Pflanzenkatalog!$A$2:$AB$632,9,FALSE)</f>
        <v>10</v>
      </c>
      <c r="V86" s="30">
        <f>VLOOKUP($M86,Pflanzenkatalog!$A$2:$AB$632,10,FALSE)</f>
        <v>10</v>
      </c>
      <c r="W86" s="30" t="str">
        <f>VLOOKUP($M86,Pflanzenkatalog!$A$2:$AB$632,11,FALSE)</f>
        <v>August</v>
      </c>
      <c r="X86" s="30" t="str">
        <f>VLOOKUP($M86,Pflanzenkatalog!$A$2:$AB$632,12,FALSE)</f>
        <v>5 Bohnen pro Stange 2 m</v>
      </c>
      <c r="Y86" s="30" t="str">
        <f>VLOOKUP($M86,Pflanzenkatalog!$A$2:$AB$632,13,FALSE)</f>
        <v>Sorten WERKSTATT</v>
      </c>
      <c r="Z86" s="30" t="str">
        <f>VLOOKUP($M86,Pflanzenkatalog!$A$2:$AB$632,14,FALSE)</f>
        <v>Bohnenkraut, Erdbeeren, Gurken, Sellerie, Rote Bete, Kohlarten, Kopfsalat, Pflücksalat, Tomate</v>
      </c>
      <c r="AA86" s="30" t="str">
        <f>VLOOKUP($M86,Pflanzenkatalog!$A$2:$AB$632,15,FALSE)</f>
        <v>Bohnenkraut, gegen schwarze Bohnenlaus, Duftstoffe fördern Wachstum und Aroma der Bohnen</v>
      </c>
      <c r="AB86" s="30" t="str">
        <f>VLOOKUP($M86,Pflanzenkatalog!$A$2:$AB$632,16,FALSE)</f>
        <v>Erbsen, Fenchel, Knoblauch, Lauch, Zwiebeln</v>
      </c>
      <c r="AC86" s="30" t="str">
        <f>VLOOKUP($M86,Pflanzenkatalog!$A$2:$AB$632,17,FALSE)</f>
        <v>nicht pikieren, Übernacht mit Kamillentee einweiken vor Aussaat, sonnig, mäßig feucht, wärmebedürftig, gute Vorfruchtwirkung</v>
      </c>
      <c r="AD86" s="30" t="str">
        <f>VLOOKUP($M86,Pflanzenkatalog!$A$2:$AB$632,18,FALSE)</f>
        <v>Alte Sorte aus der Südsteiermark, von einer Arche Noah Erhalterin bekommen. Leicht gebogene grüne Fisolen, fadenlos, die sehr knackig sind, wenn man sie dünstet. Die schwarzen Samen kann man als Trockenbohnen nutzen. Enthält mind. 30 Samen sortenreines Saatgut.</v>
      </c>
      <c r="AE86" s="30">
        <f>VLOOKUP($M86,Pflanzenkatalog!$A$2:$AB$632,19,FALSE)</f>
        <v>0</v>
      </c>
      <c r="AF86" s="30" t="str">
        <f>VLOOKUP($M86,Pflanzenkatalog!$A$2:$AB$632,20,FALSE)</f>
        <v>Hülse</v>
      </c>
    </row>
    <row r="87" spans="1:32" x14ac:dyDescent="0.2">
      <c r="A87" s="4" t="s">
        <v>241</v>
      </c>
      <c r="B87" s="30" t="s">
        <v>1</v>
      </c>
      <c r="C87" s="30" t="s">
        <v>242</v>
      </c>
      <c r="D87" s="30" t="s">
        <v>131</v>
      </c>
      <c r="E87" s="30" t="s">
        <v>225</v>
      </c>
      <c r="F87" s="30">
        <v>12</v>
      </c>
      <c r="G87" s="30" t="s">
        <v>244</v>
      </c>
      <c r="H87" s="30" t="s">
        <v>246</v>
      </c>
      <c r="I87" s="30" t="s">
        <v>225</v>
      </c>
      <c r="K87" s="30" t="s">
        <v>146</v>
      </c>
      <c r="L87" s="31">
        <v>5</v>
      </c>
      <c r="M87" s="28">
        <v>33</v>
      </c>
      <c r="N87" s="4" t="str">
        <f>VLOOKUP($M87,Pflanzenkatalog!$A$2:$AB$632,2,FALSE)</f>
        <v>Stangenbohne Aloisia schwarz</v>
      </c>
      <c r="O87" s="30" t="str">
        <f>VLOOKUP($M87,Pflanzenkatalog!$A$2:$AB$632,3,FALSE)</f>
        <v>15.04.-30.04.</v>
      </c>
      <c r="P87" s="30" t="str">
        <f>VLOOKUP($M87,Pflanzenkatalog!$A$2:$AB$632,4,FALSE)</f>
        <v>12-25</v>
      </c>
      <c r="Q87" s="30" t="str">
        <f>VLOOKUP($M87,Pflanzenkatalog!$A$2:$AB$632,5,FALSE)</f>
        <v>10-14</v>
      </c>
      <c r="R87" s="30" t="str">
        <f>VLOOKUP($M87,Pflanzenkatalog!$A$2:$AB$632,6,FALSE)</f>
        <v>3</v>
      </c>
      <c r="S87" s="30" t="str">
        <f>VLOOKUP($M87,Pflanzenkatalog!$A$2:$AB$632,7,FALSE)</f>
        <v>01.05.</v>
      </c>
      <c r="T87" s="30" t="str">
        <f>VLOOKUP($M87,Pflanzenkatalog!$A$2:$AB$632,8,FALSE)</f>
        <v>01.05.-30.06.</v>
      </c>
      <c r="U87" s="30">
        <f>VLOOKUP($M87,Pflanzenkatalog!$A$2:$AB$632,9,FALSE)</f>
        <v>10</v>
      </c>
      <c r="V87" s="30">
        <f>VLOOKUP($M87,Pflanzenkatalog!$A$2:$AB$632,10,FALSE)</f>
        <v>10</v>
      </c>
      <c r="W87" s="30" t="str">
        <f>VLOOKUP($M87,Pflanzenkatalog!$A$2:$AB$632,11,FALSE)</f>
        <v>August</v>
      </c>
      <c r="X87" s="30" t="str">
        <f>VLOOKUP($M87,Pflanzenkatalog!$A$2:$AB$632,12,FALSE)</f>
        <v>5 Bohnen pro Stange 2 m</v>
      </c>
      <c r="Y87" s="30" t="str">
        <f>VLOOKUP($M87,Pflanzenkatalog!$A$2:$AB$632,13,FALSE)</f>
        <v>Sorten WERKSTATT</v>
      </c>
      <c r="Z87" s="30" t="str">
        <f>VLOOKUP($M87,Pflanzenkatalog!$A$2:$AB$632,14,FALSE)</f>
        <v>Bohnenkraut, Erdbeeren, Gurken, Sellerie, Rote Bete, Kohlarten, Kopfsalat, Pflücksalat, Tomate</v>
      </c>
      <c r="AA87" s="30" t="str">
        <f>VLOOKUP($M87,Pflanzenkatalog!$A$2:$AB$632,15,FALSE)</f>
        <v>Bohnenkraut, gegen schwarze Bohnenlaus, Duftstoffe fördern Wachstum und Aroma der Bohnen</v>
      </c>
      <c r="AB87" s="30" t="str">
        <f>VLOOKUP($M87,Pflanzenkatalog!$A$2:$AB$632,16,FALSE)</f>
        <v>Erbsen, Fenchel, Knoblauch, Lauch, Zwiebeln</v>
      </c>
      <c r="AC87" s="30" t="str">
        <f>VLOOKUP($M87,Pflanzenkatalog!$A$2:$AB$632,17,FALSE)</f>
        <v>nicht pikieren, Übernacht mit Kamillentee einweiken vor Aussaat, sonnig, mäßig feucht, wärmebedürftig, gute Vorfruchtwirkung</v>
      </c>
      <c r="AD87" s="30" t="str">
        <f>VLOOKUP($M87,Pflanzenkatalog!$A$2:$AB$632,18,FALSE)</f>
        <v>Alte Sorte aus der Südsteiermark, von einer Arche Noah Erhalterin bekommen. Leicht gebogene grüne Fisolen, fadenlos, die sehr knackig sind, wenn man sie dünstet. Die schwarzen Samen kann man als Trockenbohnen nutzen. Enthält mind. 30 Samen sortenreines Saatgut.</v>
      </c>
      <c r="AE87" s="30">
        <f>VLOOKUP($M87,Pflanzenkatalog!$A$2:$AB$632,19,FALSE)</f>
        <v>0</v>
      </c>
      <c r="AF87" s="30" t="str">
        <f>VLOOKUP($M87,Pflanzenkatalog!$A$2:$AB$632,20,FALSE)</f>
        <v>Hülse</v>
      </c>
    </row>
  </sheetData>
  <autoFilter ref="A1:AF87" xr:uid="{1BEAEFF1-85C2-454F-A730-C717645F8D5F}">
    <sortState xmlns:xlrd2="http://schemas.microsoft.com/office/spreadsheetml/2017/richdata2" ref="A2:AF87">
      <sortCondition ref="F2:F87"/>
      <sortCondition ref="A2:A87"/>
    </sortState>
  </autoFilter>
  <phoneticPr fontId="2" type="noConversion"/>
  <pageMargins left="0.25" right="0.25" top="0.75" bottom="0.75" header="0.3" footer="0.3"/>
  <pageSetup paperSize="9" scale="31"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9A451-522C-4C7D-875B-DEF797B2B8C7}">
  <dimension ref="A1:T62"/>
  <sheetViews>
    <sheetView workbookViewId="0">
      <pane ySplit="1" topLeftCell="A2" activePane="bottomLeft" state="frozen"/>
      <selection pane="bottomLeft"/>
    </sheetView>
  </sheetViews>
  <sheetFormatPr defaultColWidth="10.89453125" defaultRowHeight="15" x14ac:dyDescent="0.2"/>
  <cols>
    <col min="1" max="1" width="8.203125" style="1" customWidth="1"/>
    <col min="2" max="2" width="16.6796875" style="1" customWidth="1"/>
    <col min="3" max="3" width="8.875" style="3" customWidth="1"/>
    <col min="4" max="4" width="16.41015625" style="5" bestFit="1" customWidth="1"/>
    <col min="5" max="5" width="9.953125" style="5" bestFit="1" customWidth="1"/>
    <col min="6" max="6" width="8.875" style="5" customWidth="1"/>
    <col min="7" max="7" width="9.68359375" style="3" customWidth="1"/>
    <col min="8" max="8" width="10.89453125" style="3"/>
    <col min="9" max="9" width="9.81640625" style="3" customWidth="1"/>
    <col min="10" max="10" width="10.89453125" style="3"/>
    <col min="11" max="11" width="10.4921875" style="3" customWidth="1"/>
    <col min="12" max="12" width="32.6875" style="3" customWidth="1"/>
    <col min="13" max="13" width="11.296875" style="3" customWidth="1"/>
    <col min="14" max="14" width="21.38671875" style="3" customWidth="1"/>
    <col min="15" max="15" width="19.63671875" style="3" customWidth="1"/>
    <col min="16" max="16" width="12.10546875" style="3" customWidth="1"/>
    <col min="17" max="17" width="28.11328125" style="3" customWidth="1"/>
    <col min="18" max="19" width="36.859375" style="3" customWidth="1"/>
    <col min="20" max="20" width="8.203125" style="3" customWidth="1"/>
    <col min="21" max="16384" width="10.89453125" style="3"/>
  </cols>
  <sheetData>
    <row r="1" spans="1:20" ht="54.75" x14ac:dyDescent="0.2">
      <c r="A1" s="1" t="s">
        <v>47</v>
      </c>
      <c r="B1" s="1" t="s">
        <v>30</v>
      </c>
      <c r="C1" s="1" t="s">
        <v>36</v>
      </c>
      <c r="D1" s="2" t="s">
        <v>51</v>
      </c>
      <c r="E1" s="2" t="s">
        <v>52</v>
      </c>
      <c r="F1" s="2" t="s">
        <v>53</v>
      </c>
      <c r="G1" s="1" t="s">
        <v>55</v>
      </c>
      <c r="H1" s="1" t="s">
        <v>37</v>
      </c>
      <c r="I1" s="1" t="s">
        <v>58</v>
      </c>
      <c r="J1" s="1" t="s">
        <v>59</v>
      </c>
      <c r="K1" s="1" t="s">
        <v>110</v>
      </c>
      <c r="L1" s="1" t="s">
        <v>34</v>
      </c>
      <c r="M1" s="1" t="s">
        <v>32</v>
      </c>
      <c r="N1" s="1" t="s">
        <v>31</v>
      </c>
      <c r="O1" s="1" t="s">
        <v>64</v>
      </c>
      <c r="P1" s="1" t="s">
        <v>33</v>
      </c>
      <c r="Q1" s="1" t="s">
        <v>35</v>
      </c>
      <c r="R1" s="1" t="s">
        <v>49</v>
      </c>
      <c r="S1" s="1" t="s">
        <v>404</v>
      </c>
      <c r="T1" s="1" t="s">
        <v>84</v>
      </c>
    </row>
    <row r="2" spans="1:20" ht="94.5" x14ac:dyDescent="0.2">
      <c r="A2" s="8">
        <v>1</v>
      </c>
      <c r="B2" s="1" t="s">
        <v>38</v>
      </c>
      <c r="C2" s="3" t="s">
        <v>46</v>
      </c>
      <c r="D2" s="5" t="s">
        <v>50</v>
      </c>
      <c r="E2" s="5" t="s">
        <v>54</v>
      </c>
      <c r="F2" s="5" t="s">
        <v>3</v>
      </c>
      <c r="G2" s="3" t="s">
        <v>56</v>
      </c>
      <c r="H2" s="3" t="s">
        <v>28</v>
      </c>
      <c r="I2" s="3">
        <v>50</v>
      </c>
      <c r="J2" s="3">
        <v>100</v>
      </c>
      <c r="K2" s="3" t="s">
        <v>57</v>
      </c>
      <c r="L2" s="3" t="s">
        <v>60</v>
      </c>
      <c r="M2" s="3" t="s">
        <v>48</v>
      </c>
      <c r="N2" s="3" t="s">
        <v>62</v>
      </c>
      <c r="O2" s="3" t="s">
        <v>65</v>
      </c>
      <c r="P2" s="3" t="s">
        <v>63</v>
      </c>
      <c r="Q2" s="3" t="s">
        <v>69</v>
      </c>
      <c r="R2" s="3" t="s">
        <v>61</v>
      </c>
      <c r="T2" s="7" t="s">
        <v>85</v>
      </c>
    </row>
    <row r="3" spans="1:20" ht="81" x14ac:dyDescent="0.2">
      <c r="A3" s="8">
        <v>2</v>
      </c>
      <c r="B3" s="1" t="s">
        <v>45</v>
      </c>
      <c r="C3" s="3" t="s">
        <v>46</v>
      </c>
      <c r="D3" s="5" t="s">
        <v>50</v>
      </c>
      <c r="E3" s="5" t="s">
        <v>54</v>
      </c>
      <c r="F3" s="5" t="s">
        <v>3</v>
      </c>
      <c r="G3" s="3" t="s">
        <v>56</v>
      </c>
      <c r="H3" s="3" t="s">
        <v>28</v>
      </c>
      <c r="I3" s="3">
        <v>50</v>
      </c>
      <c r="J3" s="3">
        <v>80</v>
      </c>
      <c r="K3" s="3" t="s">
        <v>67</v>
      </c>
      <c r="L3" s="3" t="s">
        <v>70</v>
      </c>
      <c r="M3" s="3" t="s">
        <v>48</v>
      </c>
      <c r="N3" s="3" t="s">
        <v>62</v>
      </c>
      <c r="O3" s="3" t="s">
        <v>65</v>
      </c>
      <c r="P3" s="3" t="s">
        <v>63</v>
      </c>
      <c r="Q3" s="3" t="s">
        <v>68</v>
      </c>
      <c r="R3" s="3" t="s">
        <v>71</v>
      </c>
      <c r="T3" s="7" t="s">
        <v>85</v>
      </c>
    </row>
    <row r="4" spans="1:20" ht="41.25" x14ac:dyDescent="0.2">
      <c r="A4" s="14">
        <v>3</v>
      </c>
      <c r="B4" s="1" t="s">
        <v>88</v>
      </c>
      <c r="C4" s="3" t="s">
        <v>89</v>
      </c>
      <c r="D4" s="5" t="s">
        <v>92</v>
      </c>
      <c r="E4" s="5" t="s">
        <v>91</v>
      </c>
      <c r="F4" s="5" t="s">
        <v>3</v>
      </c>
      <c r="G4" s="3" t="s">
        <v>76</v>
      </c>
      <c r="H4" s="3" t="s">
        <v>90</v>
      </c>
      <c r="I4" s="3">
        <v>30</v>
      </c>
      <c r="J4" s="3">
        <v>30</v>
      </c>
      <c r="K4" s="3" t="s">
        <v>93</v>
      </c>
      <c r="L4" s="3" t="s">
        <v>77</v>
      </c>
      <c r="M4" s="3" t="s">
        <v>112</v>
      </c>
      <c r="N4" s="3" t="s">
        <v>78</v>
      </c>
      <c r="Q4" s="3" t="s">
        <v>73</v>
      </c>
      <c r="R4" s="3" t="s">
        <v>74</v>
      </c>
      <c r="T4" s="15" t="s">
        <v>86</v>
      </c>
    </row>
    <row r="5" spans="1:20" ht="135" x14ac:dyDescent="0.2">
      <c r="A5" s="17">
        <v>4</v>
      </c>
      <c r="B5" s="1" t="s">
        <v>260</v>
      </c>
      <c r="C5" s="3" t="s">
        <v>83</v>
      </c>
      <c r="D5" s="5" t="s">
        <v>106</v>
      </c>
      <c r="E5" s="5" t="s">
        <v>107</v>
      </c>
      <c r="F5" s="5">
        <v>2</v>
      </c>
      <c r="G5" s="3" t="s">
        <v>100</v>
      </c>
      <c r="H5" s="3" t="s">
        <v>108</v>
      </c>
      <c r="I5" s="3">
        <v>60</v>
      </c>
      <c r="J5" s="3">
        <v>60</v>
      </c>
      <c r="K5" s="3" t="s">
        <v>57</v>
      </c>
      <c r="L5" s="3" t="s">
        <v>111</v>
      </c>
      <c r="M5" s="3" t="s">
        <v>112</v>
      </c>
      <c r="N5" s="3" t="s">
        <v>82</v>
      </c>
      <c r="Q5" s="3" t="s">
        <v>113</v>
      </c>
      <c r="R5" s="3" t="s">
        <v>114</v>
      </c>
      <c r="T5" s="16" t="s">
        <v>377</v>
      </c>
    </row>
    <row r="6" spans="1:20" ht="108" x14ac:dyDescent="0.2">
      <c r="A6" s="9">
        <v>5</v>
      </c>
      <c r="B6" s="1" t="s">
        <v>42</v>
      </c>
      <c r="C6" s="3" t="s">
        <v>98</v>
      </c>
      <c r="D6" s="5" t="s">
        <v>96</v>
      </c>
      <c r="E6" s="5" t="s">
        <v>97</v>
      </c>
      <c r="F6" s="5" t="s">
        <v>3</v>
      </c>
      <c r="G6" s="3" t="s">
        <v>100</v>
      </c>
      <c r="H6" s="3" t="s">
        <v>99</v>
      </c>
      <c r="I6" s="3">
        <v>30</v>
      </c>
      <c r="J6" s="3">
        <v>30</v>
      </c>
      <c r="K6" s="3" t="s">
        <v>109</v>
      </c>
      <c r="L6" s="3" t="s">
        <v>95</v>
      </c>
      <c r="M6" s="3" t="s">
        <v>48</v>
      </c>
      <c r="N6" s="3" t="s">
        <v>103</v>
      </c>
      <c r="O6" s="3" t="s">
        <v>105</v>
      </c>
      <c r="P6" s="3" t="s">
        <v>104</v>
      </c>
      <c r="Q6" s="3" t="s">
        <v>94</v>
      </c>
      <c r="R6" s="3" t="s">
        <v>102</v>
      </c>
      <c r="T6" s="10" t="s">
        <v>87</v>
      </c>
    </row>
    <row r="7" spans="1:20" ht="81" x14ac:dyDescent="0.2">
      <c r="A7" s="8">
        <v>6</v>
      </c>
      <c r="B7" s="1" t="s">
        <v>439</v>
      </c>
      <c r="C7" s="3" t="s">
        <v>46</v>
      </c>
      <c r="D7" s="5" t="s">
        <v>50</v>
      </c>
      <c r="E7" s="5" t="s">
        <v>54</v>
      </c>
      <c r="F7" s="5" t="s">
        <v>3</v>
      </c>
      <c r="G7" s="3" t="s">
        <v>56</v>
      </c>
      <c r="H7" s="3" t="s">
        <v>28</v>
      </c>
      <c r="I7" s="3">
        <v>50</v>
      </c>
      <c r="J7" s="3">
        <v>100</v>
      </c>
      <c r="K7" s="3" t="s">
        <v>117</v>
      </c>
      <c r="L7" s="3" t="s">
        <v>120</v>
      </c>
      <c r="M7" s="3" t="s">
        <v>48</v>
      </c>
      <c r="N7" s="3" t="s">
        <v>62</v>
      </c>
      <c r="O7" s="3" t="s">
        <v>65</v>
      </c>
      <c r="P7" s="3" t="s">
        <v>63</v>
      </c>
      <c r="Q7" s="3" t="s">
        <v>119</v>
      </c>
      <c r="R7" s="3" t="s">
        <v>118</v>
      </c>
      <c r="T7" s="7" t="s">
        <v>85</v>
      </c>
    </row>
    <row r="8" spans="1:20" ht="189" x14ac:dyDescent="0.2">
      <c r="A8" s="13">
        <v>7</v>
      </c>
      <c r="B8" s="1" t="s">
        <v>115</v>
      </c>
      <c r="C8" s="3" t="s">
        <v>72</v>
      </c>
      <c r="D8" s="5" t="s">
        <v>132</v>
      </c>
      <c r="E8" s="5" t="s">
        <v>133</v>
      </c>
      <c r="F8" s="5">
        <v>3</v>
      </c>
      <c r="H8" s="3" t="s">
        <v>72</v>
      </c>
      <c r="I8" s="3">
        <v>3</v>
      </c>
      <c r="J8" s="3">
        <v>30</v>
      </c>
      <c r="K8" s="3" t="s">
        <v>75</v>
      </c>
      <c r="L8" s="3" t="s">
        <v>128</v>
      </c>
      <c r="M8" s="3" t="s">
        <v>124</v>
      </c>
      <c r="N8" s="3" t="s">
        <v>129</v>
      </c>
      <c r="P8" s="3" t="s">
        <v>130</v>
      </c>
      <c r="Q8" s="3" t="s">
        <v>134</v>
      </c>
      <c r="R8" s="3" t="s">
        <v>126</v>
      </c>
      <c r="T8" s="12" t="s">
        <v>127</v>
      </c>
    </row>
    <row r="9" spans="1:20" ht="189" x14ac:dyDescent="0.2">
      <c r="A9" s="13">
        <v>8</v>
      </c>
      <c r="B9" s="1" t="s">
        <v>116</v>
      </c>
      <c r="C9" s="3" t="s">
        <v>72</v>
      </c>
      <c r="D9" s="5" t="s">
        <v>132</v>
      </c>
      <c r="E9" s="5" t="s">
        <v>133</v>
      </c>
      <c r="F9" s="5">
        <v>3</v>
      </c>
      <c r="H9" s="3" t="s">
        <v>72</v>
      </c>
      <c r="I9" s="3">
        <v>3</v>
      </c>
      <c r="J9" s="3">
        <v>30</v>
      </c>
      <c r="K9" s="3" t="s">
        <v>75</v>
      </c>
      <c r="L9" s="3" t="s">
        <v>136</v>
      </c>
      <c r="M9" s="3" t="s">
        <v>137</v>
      </c>
      <c r="N9" s="3" t="s">
        <v>129</v>
      </c>
      <c r="P9" s="3" t="s">
        <v>130</v>
      </c>
      <c r="Q9" s="3" t="s">
        <v>134</v>
      </c>
      <c r="R9" s="3" t="s">
        <v>138</v>
      </c>
      <c r="T9" s="12" t="s">
        <v>127</v>
      </c>
    </row>
    <row r="10" spans="1:20" ht="81" x14ac:dyDescent="0.2">
      <c r="A10" s="8">
        <v>9</v>
      </c>
      <c r="B10" s="1" t="s">
        <v>440</v>
      </c>
      <c r="C10" s="3" t="s">
        <v>46</v>
      </c>
      <c r="D10" s="5" t="s">
        <v>50</v>
      </c>
      <c r="E10" s="5" t="s">
        <v>54</v>
      </c>
      <c r="F10" s="5" t="s">
        <v>3</v>
      </c>
      <c r="G10" s="3" t="s">
        <v>56</v>
      </c>
      <c r="H10" s="3" t="s">
        <v>28</v>
      </c>
      <c r="I10" s="3">
        <v>50</v>
      </c>
      <c r="J10" s="3">
        <v>100</v>
      </c>
      <c r="K10" s="3" t="s">
        <v>117</v>
      </c>
      <c r="L10" s="3" t="s">
        <v>123</v>
      </c>
      <c r="M10" s="3" t="s">
        <v>48</v>
      </c>
      <c r="N10" s="3" t="s">
        <v>62</v>
      </c>
      <c r="O10" s="3" t="s">
        <v>65</v>
      </c>
      <c r="P10" s="3" t="s">
        <v>63</v>
      </c>
      <c r="Q10" s="3" t="s">
        <v>122</v>
      </c>
      <c r="R10" s="3" t="s">
        <v>121</v>
      </c>
      <c r="T10" s="7" t="s">
        <v>85</v>
      </c>
    </row>
    <row r="11" spans="1:20" ht="108" x14ac:dyDescent="0.2">
      <c r="A11" s="9">
        <v>10</v>
      </c>
      <c r="B11" s="1" t="s">
        <v>154</v>
      </c>
      <c r="C11" s="3" t="s">
        <v>157</v>
      </c>
      <c r="D11" s="5" t="s">
        <v>132</v>
      </c>
      <c r="E11" s="5" t="s">
        <v>135</v>
      </c>
      <c r="F11" s="5" t="s">
        <v>165</v>
      </c>
      <c r="G11" s="3" t="s">
        <v>168</v>
      </c>
      <c r="H11" s="3" t="s">
        <v>158</v>
      </c>
      <c r="I11" s="3" t="s">
        <v>147</v>
      </c>
      <c r="J11" s="3" t="s">
        <v>147</v>
      </c>
      <c r="K11" s="3" t="s">
        <v>161</v>
      </c>
      <c r="L11" s="3" t="s">
        <v>159</v>
      </c>
      <c r="M11" s="3" t="s">
        <v>124</v>
      </c>
      <c r="N11" s="3" t="s">
        <v>103</v>
      </c>
      <c r="O11" s="3" t="s">
        <v>105</v>
      </c>
      <c r="P11" s="3" t="s">
        <v>104</v>
      </c>
      <c r="Q11" s="3" t="s">
        <v>164</v>
      </c>
      <c r="R11" s="3" t="s">
        <v>163</v>
      </c>
      <c r="T11" s="10" t="s">
        <v>87</v>
      </c>
    </row>
    <row r="12" spans="1:20" ht="94.5" x14ac:dyDescent="0.2">
      <c r="A12" s="9">
        <v>11</v>
      </c>
      <c r="B12" s="1" t="s">
        <v>155</v>
      </c>
      <c r="C12" s="3" t="s">
        <v>157</v>
      </c>
      <c r="D12" s="5" t="s">
        <v>96</v>
      </c>
      <c r="E12" s="5" t="s">
        <v>166</v>
      </c>
      <c r="F12" s="5" t="s">
        <v>165</v>
      </c>
      <c r="G12" s="3" t="s">
        <v>168</v>
      </c>
      <c r="H12" s="3" t="s">
        <v>160</v>
      </c>
      <c r="I12" s="3" t="s">
        <v>147</v>
      </c>
      <c r="J12" s="3" t="s">
        <v>147</v>
      </c>
      <c r="K12" s="3" t="s">
        <v>162</v>
      </c>
      <c r="L12" s="3" t="s">
        <v>159</v>
      </c>
      <c r="M12" s="3" t="s">
        <v>124</v>
      </c>
      <c r="N12" s="3" t="s">
        <v>103</v>
      </c>
      <c r="O12" s="3" t="s">
        <v>105</v>
      </c>
      <c r="P12" s="3" t="s">
        <v>104</v>
      </c>
      <c r="Q12" s="3" t="s">
        <v>170</v>
      </c>
      <c r="R12" s="3" t="s">
        <v>169</v>
      </c>
      <c r="T12" s="10" t="s">
        <v>87</v>
      </c>
    </row>
    <row r="13" spans="1:20" ht="54.75" x14ac:dyDescent="0.2">
      <c r="A13" s="9">
        <v>12</v>
      </c>
      <c r="B13" s="1" t="s">
        <v>156</v>
      </c>
      <c r="C13" s="3" t="s">
        <v>168</v>
      </c>
      <c r="D13" s="5" t="s">
        <v>172</v>
      </c>
      <c r="F13" s="5" t="s">
        <v>173</v>
      </c>
      <c r="H13" s="3" t="s">
        <v>174</v>
      </c>
      <c r="I13" s="3">
        <v>15</v>
      </c>
      <c r="J13" s="3">
        <v>15</v>
      </c>
      <c r="K13" s="3" t="s">
        <v>75</v>
      </c>
      <c r="L13" s="3" t="s">
        <v>176</v>
      </c>
      <c r="M13" s="3" t="s">
        <v>171</v>
      </c>
      <c r="N13" s="3" t="s">
        <v>103</v>
      </c>
      <c r="O13" s="3" t="s">
        <v>105</v>
      </c>
      <c r="P13" s="3" t="s">
        <v>104</v>
      </c>
      <c r="R13" s="3" t="s">
        <v>175</v>
      </c>
      <c r="T13" s="10" t="s">
        <v>87</v>
      </c>
    </row>
    <row r="14" spans="1:20" ht="68.25" x14ac:dyDescent="0.2">
      <c r="A14" s="9">
        <v>13</v>
      </c>
      <c r="B14" s="1" t="s">
        <v>177</v>
      </c>
      <c r="C14" s="3" t="s">
        <v>261</v>
      </c>
      <c r="D14" s="5" t="s">
        <v>96</v>
      </c>
      <c r="E14" s="5" t="s">
        <v>166</v>
      </c>
      <c r="F14" s="5" t="s">
        <v>265</v>
      </c>
      <c r="G14" s="3" t="s">
        <v>259</v>
      </c>
      <c r="H14" s="3" t="s">
        <v>262</v>
      </c>
      <c r="I14" s="3">
        <v>3</v>
      </c>
      <c r="J14" s="3">
        <v>15</v>
      </c>
      <c r="K14" s="3" t="s">
        <v>162</v>
      </c>
      <c r="L14" s="3" t="s">
        <v>159</v>
      </c>
      <c r="M14" s="3" t="s">
        <v>124</v>
      </c>
      <c r="N14" s="3" t="s">
        <v>263</v>
      </c>
      <c r="P14" s="3" t="s">
        <v>104</v>
      </c>
      <c r="Q14" s="3" t="s">
        <v>170</v>
      </c>
      <c r="R14" s="3" t="s">
        <v>264</v>
      </c>
      <c r="T14" s="10" t="s">
        <v>87</v>
      </c>
    </row>
    <row r="15" spans="1:20" ht="135" x14ac:dyDescent="0.2">
      <c r="A15" s="8">
        <v>14</v>
      </c>
      <c r="B15" s="1" t="s">
        <v>202</v>
      </c>
      <c r="C15" s="3" t="s">
        <v>259</v>
      </c>
      <c r="D15" s="5" t="s">
        <v>251</v>
      </c>
      <c r="E15" s="5" t="s">
        <v>256</v>
      </c>
      <c r="F15" s="5" t="s">
        <v>255</v>
      </c>
      <c r="G15" s="3" t="s">
        <v>76</v>
      </c>
      <c r="H15" s="3" t="s">
        <v>28</v>
      </c>
      <c r="I15" s="3">
        <v>40</v>
      </c>
      <c r="J15" s="3">
        <v>40</v>
      </c>
      <c r="K15" s="3" t="s">
        <v>57</v>
      </c>
      <c r="L15" s="3" t="s">
        <v>253</v>
      </c>
      <c r="M15" s="3" t="s">
        <v>249</v>
      </c>
      <c r="N15" s="3" t="s">
        <v>258</v>
      </c>
      <c r="Q15" s="3" t="s">
        <v>257</v>
      </c>
      <c r="R15" s="3" t="s">
        <v>252</v>
      </c>
      <c r="T15" s="7" t="s">
        <v>85</v>
      </c>
    </row>
    <row r="16" spans="1:20" ht="94.5" x14ac:dyDescent="0.2">
      <c r="A16" s="8">
        <v>15</v>
      </c>
      <c r="B16" s="1" t="s">
        <v>178</v>
      </c>
      <c r="C16" s="3" t="s">
        <v>270</v>
      </c>
      <c r="D16" s="5" t="s">
        <v>272</v>
      </c>
      <c r="E16" s="5" t="s">
        <v>256</v>
      </c>
      <c r="F16" s="5" t="s">
        <v>274</v>
      </c>
      <c r="G16" s="3" t="s">
        <v>271</v>
      </c>
      <c r="H16" s="3" t="s">
        <v>28</v>
      </c>
      <c r="I16" s="3">
        <v>60</v>
      </c>
      <c r="J16" s="3">
        <v>80</v>
      </c>
      <c r="K16" s="3" t="s">
        <v>67</v>
      </c>
      <c r="L16" s="3" t="s">
        <v>275</v>
      </c>
      <c r="M16" s="3" t="s">
        <v>250</v>
      </c>
      <c r="N16" s="3" t="s">
        <v>276</v>
      </c>
      <c r="O16" s="3" t="s">
        <v>296</v>
      </c>
      <c r="Q16" s="3" t="s">
        <v>273</v>
      </c>
      <c r="R16" s="3" t="s">
        <v>269</v>
      </c>
      <c r="S16" s="3" t="s">
        <v>410</v>
      </c>
      <c r="T16" s="7" t="s">
        <v>85</v>
      </c>
    </row>
    <row r="17" spans="1:20" ht="135" x14ac:dyDescent="0.2">
      <c r="A17" s="8">
        <v>16</v>
      </c>
      <c r="B17" s="1" t="s">
        <v>199</v>
      </c>
      <c r="C17" s="3" t="s">
        <v>100</v>
      </c>
      <c r="D17" s="5" t="s">
        <v>353</v>
      </c>
      <c r="E17" s="5" t="s">
        <v>166</v>
      </c>
      <c r="G17" s="3" t="s">
        <v>76</v>
      </c>
      <c r="H17" s="3" t="s">
        <v>76</v>
      </c>
      <c r="I17" s="3">
        <v>50</v>
      </c>
      <c r="J17" s="3">
        <v>100</v>
      </c>
      <c r="K17" s="3" t="s">
        <v>57</v>
      </c>
      <c r="L17" s="3" t="s">
        <v>354</v>
      </c>
      <c r="M17" s="3" t="s">
        <v>355</v>
      </c>
      <c r="Q17" s="3" t="s">
        <v>514</v>
      </c>
      <c r="R17" s="3" t="s">
        <v>513</v>
      </c>
      <c r="T17" s="7" t="s">
        <v>85</v>
      </c>
    </row>
    <row r="18" spans="1:20" x14ac:dyDescent="0.2">
      <c r="A18" s="8">
        <v>17</v>
      </c>
      <c r="B18" s="1" t="s">
        <v>200</v>
      </c>
      <c r="C18" s="3" t="s">
        <v>259</v>
      </c>
      <c r="D18" s="5" t="s">
        <v>251</v>
      </c>
      <c r="E18" s="5" t="s">
        <v>256</v>
      </c>
      <c r="F18" s="5" t="s">
        <v>255</v>
      </c>
      <c r="G18" s="3" t="s">
        <v>76</v>
      </c>
      <c r="H18" s="3" t="s">
        <v>28</v>
      </c>
      <c r="I18" s="3">
        <v>40</v>
      </c>
      <c r="J18" s="3">
        <v>40</v>
      </c>
      <c r="K18" s="3" t="s">
        <v>57</v>
      </c>
      <c r="L18" s="3" t="s">
        <v>462</v>
      </c>
      <c r="M18" s="3" t="s">
        <v>466</v>
      </c>
      <c r="T18" s="7" t="s">
        <v>85</v>
      </c>
    </row>
    <row r="19" spans="1:20" ht="27.75" x14ac:dyDescent="0.2">
      <c r="A19" s="8">
        <v>18</v>
      </c>
      <c r="B19" s="1" t="s">
        <v>201</v>
      </c>
      <c r="C19" s="3" t="s">
        <v>270</v>
      </c>
      <c r="D19" s="5" t="s">
        <v>272</v>
      </c>
      <c r="E19" s="5" t="s">
        <v>256</v>
      </c>
      <c r="F19" s="5" t="s">
        <v>274</v>
      </c>
      <c r="G19" s="3" t="s">
        <v>271</v>
      </c>
      <c r="H19" s="3" t="s">
        <v>28</v>
      </c>
      <c r="I19" s="3">
        <v>60</v>
      </c>
      <c r="J19" s="3">
        <v>80</v>
      </c>
      <c r="K19" s="3" t="s">
        <v>67</v>
      </c>
      <c r="L19" s="3" t="s">
        <v>462</v>
      </c>
      <c r="M19" s="3" t="s">
        <v>466</v>
      </c>
      <c r="T19" s="7" t="s">
        <v>85</v>
      </c>
    </row>
    <row r="20" spans="1:20" ht="27.75" x14ac:dyDescent="0.2">
      <c r="A20" s="9">
        <v>19</v>
      </c>
      <c r="B20" s="1" t="s">
        <v>248</v>
      </c>
      <c r="C20" s="3" t="s">
        <v>168</v>
      </c>
      <c r="D20" s="5" t="s">
        <v>172</v>
      </c>
      <c r="F20" s="5" t="s">
        <v>173</v>
      </c>
      <c r="H20" s="3" t="s">
        <v>174</v>
      </c>
      <c r="I20" s="3">
        <v>15</v>
      </c>
      <c r="J20" s="3">
        <v>15</v>
      </c>
      <c r="K20" s="3" t="s">
        <v>75</v>
      </c>
      <c r="T20" s="10" t="s">
        <v>87</v>
      </c>
    </row>
    <row r="21" spans="1:20" ht="54.75" x14ac:dyDescent="0.2">
      <c r="A21" s="11">
        <v>20</v>
      </c>
      <c r="B21" s="1" t="s">
        <v>268</v>
      </c>
      <c r="C21" s="3" t="s">
        <v>168</v>
      </c>
      <c r="D21" s="5" t="s">
        <v>172</v>
      </c>
      <c r="F21" s="5" t="s">
        <v>173</v>
      </c>
      <c r="H21" s="3" t="s">
        <v>174</v>
      </c>
      <c r="I21" s="3">
        <v>15</v>
      </c>
      <c r="J21" s="3">
        <v>15</v>
      </c>
      <c r="K21" s="3" t="s">
        <v>75</v>
      </c>
      <c r="L21" s="3" t="s">
        <v>176</v>
      </c>
      <c r="M21" s="3" t="s">
        <v>171</v>
      </c>
      <c r="N21" s="3" t="s">
        <v>103</v>
      </c>
      <c r="O21" s="3" t="s">
        <v>105</v>
      </c>
      <c r="P21" s="3" t="s">
        <v>104</v>
      </c>
      <c r="R21" s="3" t="s">
        <v>175</v>
      </c>
      <c r="T21" s="10" t="s">
        <v>87</v>
      </c>
    </row>
    <row r="22" spans="1:20" ht="108" x14ac:dyDescent="0.2">
      <c r="A22" s="14">
        <v>21</v>
      </c>
      <c r="B22" s="1" t="s">
        <v>277</v>
      </c>
      <c r="C22" s="3" t="s">
        <v>308</v>
      </c>
      <c r="D22" s="5" t="s">
        <v>132</v>
      </c>
      <c r="E22" s="5" t="s">
        <v>314</v>
      </c>
      <c r="F22" s="5" t="s">
        <v>167</v>
      </c>
      <c r="G22" s="3" t="s">
        <v>100</v>
      </c>
      <c r="H22" s="3" t="s">
        <v>125</v>
      </c>
      <c r="I22" s="3">
        <v>5</v>
      </c>
      <c r="J22" s="3">
        <v>25</v>
      </c>
      <c r="K22" s="3" t="s">
        <v>75</v>
      </c>
      <c r="L22" s="3" t="s">
        <v>309</v>
      </c>
      <c r="M22" s="3" t="s">
        <v>249</v>
      </c>
      <c r="N22" s="3" t="s">
        <v>312</v>
      </c>
      <c r="P22" s="3" t="s">
        <v>313</v>
      </c>
      <c r="Q22" s="3" t="s">
        <v>311</v>
      </c>
      <c r="R22" s="3" t="s">
        <v>310</v>
      </c>
      <c r="T22" s="15" t="s">
        <v>376</v>
      </c>
    </row>
    <row r="23" spans="1:20" x14ac:dyDescent="0.2">
      <c r="A23" s="14">
        <v>22</v>
      </c>
      <c r="B23" s="1" t="s">
        <v>278</v>
      </c>
      <c r="H23" s="3" t="s">
        <v>28</v>
      </c>
      <c r="T23" s="15" t="s">
        <v>86</v>
      </c>
    </row>
    <row r="24" spans="1:20" ht="148.5" x14ac:dyDescent="0.2">
      <c r="A24" s="8">
        <v>23</v>
      </c>
      <c r="B24" s="1" t="s">
        <v>506</v>
      </c>
      <c r="C24" s="3" t="s">
        <v>168</v>
      </c>
      <c r="D24" s="5" t="s">
        <v>50</v>
      </c>
      <c r="E24" s="5" t="s">
        <v>501</v>
      </c>
      <c r="F24" s="5" t="s">
        <v>165</v>
      </c>
      <c r="G24" s="3" t="s">
        <v>338</v>
      </c>
      <c r="H24" s="3" t="s">
        <v>28</v>
      </c>
      <c r="I24" s="3">
        <v>60</v>
      </c>
      <c r="J24" s="3">
        <v>100</v>
      </c>
      <c r="K24" s="3" t="s">
        <v>117</v>
      </c>
      <c r="L24" s="3" t="s">
        <v>503</v>
      </c>
      <c r="M24" s="3" t="s">
        <v>502</v>
      </c>
      <c r="N24" s="3" t="s">
        <v>276</v>
      </c>
      <c r="P24" s="3" t="s">
        <v>504</v>
      </c>
      <c r="Q24" s="3" t="s">
        <v>505</v>
      </c>
      <c r="T24" s="7" t="s">
        <v>85</v>
      </c>
    </row>
    <row r="25" spans="1:20" ht="151.5" x14ac:dyDescent="0.2">
      <c r="A25" s="14">
        <v>24</v>
      </c>
      <c r="B25" s="1" t="s">
        <v>279</v>
      </c>
      <c r="C25" s="3" t="s">
        <v>316</v>
      </c>
      <c r="D25" s="5" t="s">
        <v>92</v>
      </c>
      <c r="E25" s="5" t="s">
        <v>471</v>
      </c>
      <c r="F25" s="3" t="s">
        <v>274</v>
      </c>
      <c r="G25" s="3" t="s">
        <v>316</v>
      </c>
      <c r="H25" s="3" t="s">
        <v>316</v>
      </c>
      <c r="I25" s="3">
        <v>30</v>
      </c>
      <c r="J25" s="3">
        <v>30</v>
      </c>
      <c r="K25" s="3" t="s">
        <v>469</v>
      </c>
      <c r="L25" s="3" t="s">
        <v>470</v>
      </c>
      <c r="M25" s="3" t="s">
        <v>355</v>
      </c>
      <c r="P25" s="3" t="s">
        <v>474</v>
      </c>
      <c r="Q25" s="3" t="s">
        <v>472</v>
      </c>
      <c r="R25" s="3" t="s">
        <v>473</v>
      </c>
      <c r="T25" s="15" t="s">
        <v>86</v>
      </c>
    </row>
    <row r="26" spans="1:20" ht="68.25" x14ac:dyDescent="0.2">
      <c r="A26" s="14">
        <v>25</v>
      </c>
      <c r="B26" s="1" t="s">
        <v>291</v>
      </c>
      <c r="C26" s="3" t="s">
        <v>259</v>
      </c>
      <c r="D26" s="5" t="s">
        <v>298</v>
      </c>
      <c r="E26" s="5" t="s">
        <v>299</v>
      </c>
      <c r="F26" s="5" t="s">
        <v>300</v>
      </c>
      <c r="G26" s="3" t="s">
        <v>76</v>
      </c>
      <c r="H26" s="3" t="s">
        <v>76</v>
      </c>
      <c r="I26" s="3" t="s">
        <v>147</v>
      </c>
      <c r="J26" s="3" t="s">
        <v>147</v>
      </c>
      <c r="K26" s="3" t="s">
        <v>67</v>
      </c>
      <c r="L26" s="3" t="s">
        <v>292</v>
      </c>
      <c r="M26" s="3" t="s">
        <v>124</v>
      </c>
      <c r="N26" s="3" t="s">
        <v>302</v>
      </c>
      <c r="Q26" s="3" t="s">
        <v>301</v>
      </c>
      <c r="R26" s="3" t="s">
        <v>297</v>
      </c>
      <c r="T26" s="15" t="s">
        <v>86</v>
      </c>
    </row>
    <row r="27" spans="1:20" x14ac:dyDescent="0.2">
      <c r="A27" s="17">
        <v>26</v>
      </c>
      <c r="B27" s="1" t="s">
        <v>522</v>
      </c>
      <c r="H27" s="3" t="s">
        <v>28</v>
      </c>
      <c r="T27" s="16" t="s">
        <v>381</v>
      </c>
    </row>
    <row r="28" spans="1:20" ht="108" x14ac:dyDescent="0.2">
      <c r="A28" s="8">
        <v>27</v>
      </c>
      <c r="B28" s="1" t="s">
        <v>280</v>
      </c>
      <c r="C28" s="5" t="s">
        <v>287</v>
      </c>
      <c r="D28" s="3" t="s">
        <v>284</v>
      </c>
      <c r="E28" s="5" t="s">
        <v>107</v>
      </c>
      <c r="F28" s="5" t="s">
        <v>283</v>
      </c>
      <c r="G28" s="3" t="s">
        <v>338</v>
      </c>
      <c r="H28" s="3" t="s">
        <v>282</v>
      </c>
      <c r="I28" s="3">
        <v>50</v>
      </c>
      <c r="J28" s="3">
        <v>150</v>
      </c>
      <c r="K28" s="3" t="s">
        <v>66</v>
      </c>
      <c r="L28" s="3" t="s">
        <v>286</v>
      </c>
      <c r="M28" s="3" t="s">
        <v>285</v>
      </c>
      <c r="N28" s="3" t="s">
        <v>293</v>
      </c>
      <c r="O28" s="3" t="s">
        <v>295</v>
      </c>
      <c r="P28" s="3" t="s">
        <v>294</v>
      </c>
      <c r="Q28" s="3" t="s">
        <v>288</v>
      </c>
      <c r="R28" s="3" t="s">
        <v>289</v>
      </c>
      <c r="T28" s="7" t="s">
        <v>85</v>
      </c>
    </row>
    <row r="29" spans="1:20" ht="108" x14ac:dyDescent="0.2">
      <c r="A29" s="8">
        <v>28</v>
      </c>
      <c r="B29" s="1" t="s">
        <v>281</v>
      </c>
      <c r="C29" s="5" t="s">
        <v>287</v>
      </c>
      <c r="D29" s="3" t="s">
        <v>284</v>
      </c>
      <c r="E29" s="5" t="s">
        <v>107</v>
      </c>
      <c r="F29" s="5" t="s">
        <v>283</v>
      </c>
      <c r="G29" s="3" t="s">
        <v>338</v>
      </c>
      <c r="H29" s="3" t="s">
        <v>282</v>
      </c>
      <c r="I29" s="3">
        <v>50</v>
      </c>
      <c r="J29" s="3">
        <v>150</v>
      </c>
      <c r="K29" s="3" t="s">
        <v>67</v>
      </c>
      <c r="L29" s="3" t="s">
        <v>286</v>
      </c>
      <c r="M29" s="3" t="s">
        <v>285</v>
      </c>
      <c r="N29" s="3" t="s">
        <v>293</v>
      </c>
      <c r="O29" s="3" t="s">
        <v>295</v>
      </c>
      <c r="P29" s="3" t="s">
        <v>294</v>
      </c>
      <c r="Q29" s="3" t="s">
        <v>288</v>
      </c>
      <c r="R29" s="3" t="s">
        <v>290</v>
      </c>
      <c r="T29" s="7" t="s">
        <v>85</v>
      </c>
    </row>
    <row r="30" spans="1:20" ht="108" x14ac:dyDescent="0.2">
      <c r="A30" s="8">
        <v>29</v>
      </c>
      <c r="B30" s="1" t="s">
        <v>441</v>
      </c>
      <c r="C30" s="3" t="s">
        <v>308</v>
      </c>
      <c r="D30" s="5" t="s">
        <v>303</v>
      </c>
      <c r="E30" s="5" t="s">
        <v>54</v>
      </c>
      <c r="F30" s="5" t="s">
        <v>3</v>
      </c>
      <c r="G30" s="3" t="s">
        <v>56</v>
      </c>
      <c r="H30" s="3" t="s">
        <v>28</v>
      </c>
      <c r="I30" s="3">
        <v>50</v>
      </c>
      <c r="J30" s="3">
        <v>100</v>
      </c>
      <c r="K30" s="3" t="s">
        <v>67</v>
      </c>
      <c r="L30" s="3" t="s">
        <v>307</v>
      </c>
      <c r="M30" s="3" t="s">
        <v>124</v>
      </c>
      <c r="N30" s="3" t="s">
        <v>62</v>
      </c>
      <c r="O30" s="3" t="s">
        <v>65</v>
      </c>
      <c r="P30" s="3" t="s">
        <v>63</v>
      </c>
      <c r="Q30" s="3" t="s">
        <v>306</v>
      </c>
      <c r="R30" s="3" t="s">
        <v>305</v>
      </c>
      <c r="T30" s="7" t="s">
        <v>85</v>
      </c>
    </row>
    <row r="31" spans="1:20" ht="41.25" x14ac:dyDescent="0.2">
      <c r="A31" s="14">
        <v>30</v>
      </c>
      <c r="B31" s="1" t="s">
        <v>315</v>
      </c>
      <c r="C31" s="3" t="s">
        <v>316</v>
      </c>
      <c r="D31" s="5" t="s">
        <v>132</v>
      </c>
      <c r="E31" s="5" t="s">
        <v>314</v>
      </c>
      <c r="F31" s="5" t="s">
        <v>167</v>
      </c>
      <c r="G31" s="3" t="s">
        <v>259</v>
      </c>
      <c r="H31" s="3" t="s">
        <v>316</v>
      </c>
      <c r="I31" s="3">
        <v>5</v>
      </c>
      <c r="J31" s="3">
        <v>25</v>
      </c>
      <c r="K31" s="3" t="s">
        <v>162</v>
      </c>
      <c r="L31" s="3" t="s">
        <v>334</v>
      </c>
      <c r="M31" s="3" t="s">
        <v>137</v>
      </c>
      <c r="N31" s="3" t="s">
        <v>312</v>
      </c>
      <c r="P31" s="3" t="s">
        <v>313</v>
      </c>
      <c r="Q31" s="3" t="s">
        <v>332</v>
      </c>
      <c r="R31" s="3" t="s">
        <v>333</v>
      </c>
      <c r="T31" s="15" t="s">
        <v>376</v>
      </c>
    </row>
    <row r="32" spans="1:20" ht="162" x14ac:dyDescent="0.2">
      <c r="A32" s="8">
        <v>31</v>
      </c>
      <c r="B32" s="1" t="s">
        <v>319</v>
      </c>
      <c r="C32" s="3" t="s">
        <v>317</v>
      </c>
      <c r="D32" s="5" t="s">
        <v>92</v>
      </c>
      <c r="E32" s="5" t="s">
        <v>166</v>
      </c>
      <c r="F32" s="5" t="s">
        <v>283</v>
      </c>
      <c r="G32" s="3" t="s">
        <v>338</v>
      </c>
      <c r="H32" s="3" t="s">
        <v>318</v>
      </c>
      <c r="I32" s="3">
        <v>100</v>
      </c>
      <c r="J32" s="3">
        <v>100</v>
      </c>
      <c r="K32" s="3" t="s">
        <v>67</v>
      </c>
      <c r="L32" s="3" t="s">
        <v>326</v>
      </c>
      <c r="M32" s="3" t="s">
        <v>328</v>
      </c>
      <c r="N32" s="3" t="s">
        <v>329</v>
      </c>
      <c r="O32" s="3" t="s">
        <v>330</v>
      </c>
      <c r="Q32" s="3" t="s">
        <v>515</v>
      </c>
      <c r="R32" s="3" t="s">
        <v>327</v>
      </c>
      <c r="T32" s="7" t="s">
        <v>85</v>
      </c>
    </row>
    <row r="33" spans="1:20" ht="68.25" x14ac:dyDescent="0.2">
      <c r="A33" s="13">
        <v>32</v>
      </c>
      <c r="B33" s="1" t="s">
        <v>320</v>
      </c>
      <c r="C33" s="3" t="s">
        <v>287</v>
      </c>
      <c r="D33" s="5" t="s">
        <v>321</v>
      </c>
      <c r="E33" s="5" t="s">
        <v>256</v>
      </c>
      <c r="F33" s="5" t="s">
        <v>265</v>
      </c>
      <c r="G33" s="3" t="s">
        <v>76</v>
      </c>
      <c r="H33" s="3" t="s">
        <v>282</v>
      </c>
      <c r="I33" s="3">
        <v>10</v>
      </c>
      <c r="J33" s="3">
        <v>10</v>
      </c>
      <c r="K33" s="3" t="s">
        <v>57</v>
      </c>
      <c r="L33" s="3" t="s">
        <v>322</v>
      </c>
      <c r="M33" s="3" t="s">
        <v>48</v>
      </c>
      <c r="N33" s="3" t="s">
        <v>335</v>
      </c>
      <c r="O33" s="3" t="s">
        <v>337</v>
      </c>
      <c r="P33" s="3" t="s">
        <v>336</v>
      </c>
      <c r="Q33" s="3" t="s">
        <v>331</v>
      </c>
      <c r="R33" s="3" t="s">
        <v>323</v>
      </c>
      <c r="T33" s="12" t="s">
        <v>127</v>
      </c>
    </row>
    <row r="34" spans="1:20" ht="94.5" x14ac:dyDescent="0.2">
      <c r="A34" s="13">
        <v>33</v>
      </c>
      <c r="B34" s="1" t="s">
        <v>324</v>
      </c>
      <c r="C34" s="3" t="s">
        <v>287</v>
      </c>
      <c r="D34" s="5" t="s">
        <v>321</v>
      </c>
      <c r="E34" s="5" t="s">
        <v>256</v>
      </c>
      <c r="F34" s="5" t="s">
        <v>265</v>
      </c>
      <c r="G34" s="3" t="s">
        <v>76</v>
      </c>
      <c r="H34" s="3" t="s">
        <v>282</v>
      </c>
      <c r="I34" s="3">
        <v>10</v>
      </c>
      <c r="J34" s="3">
        <v>10</v>
      </c>
      <c r="K34" s="3" t="s">
        <v>57</v>
      </c>
      <c r="L34" s="3" t="s">
        <v>322</v>
      </c>
      <c r="M34" s="3" t="s">
        <v>137</v>
      </c>
      <c r="N34" s="3" t="s">
        <v>335</v>
      </c>
      <c r="O34" s="3" t="s">
        <v>337</v>
      </c>
      <c r="P34" s="3" t="s">
        <v>336</v>
      </c>
      <c r="Q34" s="3" t="s">
        <v>331</v>
      </c>
      <c r="R34" s="3" t="s">
        <v>325</v>
      </c>
      <c r="T34" s="12" t="s">
        <v>127</v>
      </c>
    </row>
    <row r="35" spans="1:20" ht="202.5" x14ac:dyDescent="0.2">
      <c r="A35" s="13">
        <v>34</v>
      </c>
      <c r="B35" s="1" t="s">
        <v>339</v>
      </c>
      <c r="D35" s="5" t="s">
        <v>132</v>
      </c>
      <c r="E35" s="5" t="s">
        <v>340</v>
      </c>
      <c r="F35" s="5" t="s">
        <v>341</v>
      </c>
      <c r="H35" s="3" t="s">
        <v>342</v>
      </c>
      <c r="I35" s="3">
        <v>7</v>
      </c>
      <c r="J35" s="3">
        <v>40</v>
      </c>
      <c r="K35" s="3" t="s">
        <v>75</v>
      </c>
      <c r="L35" s="3" t="s">
        <v>343</v>
      </c>
      <c r="M35" s="3" t="s">
        <v>48</v>
      </c>
      <c r="N35" s="3" t="s">
        <v>346</v>
      </c>
      <c r="Q35" s="3" t="s">
        <v>344</v>
      </c>
      <c r="R35" s="3" t="s">
        <v>347</v>
      </c>
      <c r="T35" s="12" t="s">
        <v>304</v>
      </c>
    </row>
    <row r="36" spans="1:20" ht="81" x14ac:dyDescent="0.2">
      <c r="A36" s="13">
        <v>35</v>
      </c>
      <c r="B36" s="1" t="s">
        <v>345</v>
      </c>
      <c r="D36" s="5" t="s">
        <v>132</v>
      </c>
      <c r="E36" s="5" t="s">
        <v>401</v>
      </c>
      <c r="F36" s="5" t="s">
        <v>265</v>
      </c>
      <c r="H36" s="3" t="s">
        <v>316</v>
      </c>
      <c r="I36" s="3">
        <v>15</v>
      </c>
      <c r="J36" s="3">
        <v>15</v>
      </c>
      <c r="K36" s="3" t="s">
        <v>75</v>
      </c>
      <c r="L36" s="3" t="s">
        <v>343</v>
      </c>
      <c r="M36" s="3" t="s">
        <v>48</v>
      </c>
      <c r="Q36" s="3" t="s">
        <v>402</v>
      </c>
      <c r="R36" s="3" t="s">
        <v>400</v>
      </c>
      <c r="T36" s="12" t="s">
        <v>304</v>
      </c>
    </row>
    <row r="37" spans="1:20" ht="27.75" x14ac:dyDescent="0.2">
      <c r="A37" s="13">
        <v>36</v>
      </c>
      <c r="B37" s="1" t="s">
        <v>348</v>
      </c>
      <c r="D37" s="5" t="s">
        <v>135</v>
      </c>
      <c r="E37" s="5" t="s">
        <v>349</v>
      </c>
      <c r="F37" s="5" t="s">
        <v>350</v>
      </c>
      <c r="H37" s="3" t="s">
        <v>351</v>
      </c>
      <c r="I37" s="3">
        <v>5</v>
      </c>
      <c r="J37" s="3">
        <v>10</v>
      </c>
      <c r="K37" s="3" t="s">
        <v>75</v>
      </c>
      <c r="L37" s="3" t="s">
        <v>343</v>
      </c>
      <c r="M37" s="3" t="s">
        <v>352</v>
      </c>
      <c r="Q37" s="3" t="s">
        <v>403</v>
      </c>
      <c r="T37" s="12" t="s">
        <v>304</v>
      </c>
    </row>
    <row r="38" spans="1:20" x14ac:dyDescent="0.2">
      <c r="A38" s="14">
        <v>37</v>
      </c>
      <c r="B38" s="1" t="s">
        <v>395</v>
      </c>
      <c r="R38" s="3" t="s">
        <v>398</v>
      </c>
      <c r="T38" s="15" t="s">
        <v>86</v>
      </c>
    </row>
    <row r="39" spans="1:20" ht="121.5" x14ac:dyDescent="0.2">
      <c r="A39" s="14">
        <v>38</v>
      </c>
      <c r="B39" s="1" t="s">
        <v>396</v>
      </c>
      <c r="C39" s="3" t="s">
        <v>28</v>
      </c>
      <c r="D39" s="5" t="s">
        <v>454</v>
      </c>
      <c r="E39" s="5" t="s">
        <v>455</v>
      </c>
      <c r="F39" s="5" t="s">
        <v>453</v>
      </c>
      <c r="H39" s="3" t="s">
        <v>72</v>
      </c>
      <c r="I39" s="3">
        <v>20</v>
      </c>
      <c r="J39" s="3">
        <v>20</v>
      </c>
      <c r="K39" s="3" t="s">
        <v>456</v>
      </c>
      <c r="L39" s="3" t="s">
        <v>457</v>
      </c>
      <c r="M39" s="3" t="s">
        <v>458</v>
      </c>
      <c r="Q39" s="3" t="s">
        <v>451</v>
      </c>
      <c r="R39" s="3" t="s">
        <v>399</v>
      </c>
      <c r="S39" s="3" t="s">
        <v>452</v>
      </c>
      <c r="T39" s="15" t="s">
        <v>86</v>
      </c>
    </row>
    <row r="40" spans="1:20" ht="68.25" x14ac:dyDescent="0.2">
      <c r="A40" s="14">
        <v>39</v>
      </c>
      <c r="B40" s="1" t="s">
        <v>496</v>
      </c>
      <c r="C40" s="3" t="s">
        <v>28</v>
      </c>
      <c r="D40" s="5" t="s">
        <v>132</v>
      </c>
      <c r="E40" s="5" t="s">
        <v>107</v>
      </c>
      <c r="F40" s="5" t="s">
        <v>300</v>
      </c>
      <c r="G40" s="3" t="s">
        <v>486</v>
      </c>
      <c r="H40" s="3" t="s">
        <v>486</v>
      </c>
      <c r="I40" s="3">
        <v>10</v>
      </c>
      <c r="J40" s="3">
        <v>30</v>
      </c>
      <c r="K40" s="3" t="s">
        <v>500</v>
      </c>
      <c r="L40" s="3" t="s">
        <v>499</v>
      </c>
      <c r="M40" s="3" t="s">
        <v>466</v>
      </c>
      <c r="Q40" s="3" t="s">
        <v>497</v>
      </c>
      <c r="R40" s="3" t="s">
        <v>498</v>
      </c>
      <c r="T40" s="15" t="s">
        <v>86</v>
      </c>
    </row>
    <row r="41" spans="1:20" ht="189" x14ac:dyDescent="0.2">
      <c r="A41" s="8">
        <v>40</v>
      </c>
      <c r="B41" s="1" t="s">
        <v>405</v>
      </c>
      <c r="C41" s="3" t="s">
        <v>270</v>
      </c>
      <c r="D41" s="5" t="s">
        <v>50</v>
      </c>
      <c r="E41" s="5" t="s">
        <v>406</v>
      </c>
      <c r="F41" s="5" t="s">
        <v>274</v>
      </c>
      <c r="G41" s="3" t="s">
        <v>271</v>
      </c>
      <c r="H41" s="3" t="s">
        <v>338</v>
      </c>
      <c r="I41" s="3">
        <v>50</v>
      </c>
      <c r="J41" s="3">
        <v>70</v>
      </c>
      <c r="K41" s="3" t="s">
        <v>67</v>
      </c>
      <c r="M41" s="3" t="s">
        <v>407</v>
      </c>
      <c r="N41" s="3" t="s">
        <v>276</v>
      </c>
      <c r="O41" s="3" t="s">
        <v>296</v>
      </c>
      <c r="Q41" s="21" t="s">
        <v>408</v>
      </c>
      <c r="R41" s="3" t="s">
        <v>409</v>
      </c>
      <c r="T41" s="7" t="s">
        <v>85</v>
      </c>
    </row>
    <row r="42" spans="1:20" ht="41.25" x14ac:dyDescent="0.2">
      <c r="A42" s="14">
        <v>41</v>
      </c>
      <c r="B42" s="1" t="s">
        <v>411</v>
      </c>
      <c r="C42" s="3" t="s">
        <v>308</v>
      </c>
      <c r="D42" s="5" t="s">
        <v>132</v>
      </c>
      <c r="E42" s="5" t="s">
        <v>314</v>
      </c>
      <c r="F42" s="5" t="s">
        <v>167</v>
      </c>
      <c r="G42" s="3" t="s">
        <v>100</v>
      </c>
      <c r="H42" s="3" t="s">
        <v>125</v>
      </c>
      <c r="I42" s="3">
        <v>5</v>
      </c>
      <c r="J42" s="3">
        <v>25</v>
      </c>
      <c r="K42" s="3" t="s">
        <v>75</v>
      </c>
      <c r="L42" s="3" t="s">
        <v>309</v>
      </c>
      <c r="M42" s="3" t="s">
        <v>412</v>
      </c>
      <c r="N42" s="3" t="s">
        <v>312</v>
      </c>
      <c r="P42" s="3" t="s">
        <v>313</v>
      </c>
      <c r="Q42" s="3" t="s">
        <v>311</v>
      </c>
      <c r="R42" s="3" t="s">
        <v>413</v>
      </c>
      <c r="T42" s="15" t="s">
        <v>376</v>
      </c>
    </row>
    <row r="43" spans="1:20" ht="202.5" x14ac:dyDescent="0.2">
      <c r="A43" s="14">
        <v>42</v>
      </c>
      <c r="B43" s="1" t="s">
        <v>414</v>
      </c>
      <c r="C43" s="3" t="s">
        <v>308</v>
      </c>
      <c r="D43" s="5" t="s">
        <v>418</v>
      </c>
      <c r="E43" s="5" t="s">
        <v>314</v>
      </c>
      <c r="F43" s="5" t="s">
        <v>274</v>
      </c>
      <c r="G43" s="3" t="s">
        <v>100</v>
      </c>
      <c r="H43" s="3" t="s">
        <v>125</v>
      </c>
      <c r="J43" s="3" t="s">
        <v>147</v>
      </c>
      <c r="K43" s="3" t="s">
        <v>421</v>
      </c>
      <c r="L43" s="3" t="s">
        <v>415</v>
      </c>
      <c r="M43" s="3" t="s">
        <v>412</v>
      </c>
      <c r="N43" s="3" t="s">
        <v>420</v>
      </c>
      <c r="P43" s="3" t="s">
        <v>419</v>
      </c>
      <c r="Q43" s="3" t="s">
        <v>417</v>
      </c>
      <c r="R43" s="3" t="s">
        <v>416</v>
      </c>
      <c r="T43" s="15" t="s">
        <v>86</v>
      </c>
    </row>
    <row r="44" spans="1:20" ht="108" x14ac:dyDescent="0.2">
      <c r="A44" s="14">
        <v>43</v>
      </c>
      <c r="B44" s="1" t="s">
        <v>475</v>
      </c>
      <c r="C44" s="3" t="s">
        <v>28</v>
      </c>
      <c r="D44" s="5" t="s">
        <v>454</v>
      </c>
      <c r="E44" s="5" t="s">
        <v>479</v>
      </c>
      <c r="F44" s="5" t="s">
        <v>3</v>
      </c>
      <c r="G44" s="3" t="s">
        <v>480</v>
      </c>
      <c r="H44" s="3" t="s">
        <v>485</v>
      </c>
      <c r="I44" s="3">
        <v>5</v>
      </c>
      <c r="J44" s="3">
        <v>5</v>
      </c>
      <c r="K44" s="3" t="s">
        <v>476</v>
      </c>
      <c r="L44" s="3" t="s">
        <v>477</v>
      </c>
      <c r="M44" s="3" t="s">
        <v>355</v>
      </c>
      <c r="N44" s="3" t="s">
        <v>483</v>
      </c>
      <c r="Q44" s="3" t="s">
        <v>482</v>
      </c>
      <c r="R44" s="3" t="s">
        <v>478</v>
      </c>
      <c r="T44" s="15" t="s">
        <v>86</v>
      </c>
    </row>
    <row r="45" spans="1:20" ht="108" x14ac:dyDescent="0.2">
      <c r="A45" s="14">
        <v>44</v>
      </c>
      <c r="B45" s="1" t="s">
        <v>397</v>
      </c>
      <c r="C45" s="3" t="s">
        <v>28</v>
      </c>
      <c r="D45" s="5" t="s">
        <v>454</v>
      </c>
      <c r="E45" s="5" t="s">
        <v>479</v>
      </c>
      <c r="F45" s="5" t="s">
        <v>3</v>
      </c>
      <c r="G45" s="3" t="s">
        <v>486</v>
      </c>
      <c r="H45" s="3" t="s">
        <v>486</v>
      </c>
      <c r="I45" s="3">
        <v>20</v>
      </c>
      <c r="J45" s="3">
        <v>20</v>
      </c>
      <c r="K45" s="3" t="s">
        <v>476</v>
      </c>
      <c r="L45" s="3" t="s">
        <v>484</v>
      </c>
      <c r="M45" s="3" t="s">
        <v>355</v>
      </c>
      <c r="Q45" s="3" t="s">
        <v>495</v>
      </c>
      <c r="R45" s="3" t="s">
        <v>487</v>
      </c>
      <c r="T45" s="15" t="s">
        <v>86</v>
      </c>
    </row>
    <row r="46" spans="1:20" ht="94.5" x14ac:dyDescent="0.2">
      <c r="A46" s="14">
        <v>45</v>
      </c>
      <c r="B46" s="1" t="s">
        <v>488</v>
      </c>
      <c r="C46" s="3" t="s">
        <v>492</v>
      </c>
      <c r="D46" s="5" t="s">
        <v>493</v>
      </c>
      <c r="E46" s="5" t="s">
        <v>479</v>
      </c>
      <c r="F46" s="5" t="s">
        <v>3</v>
      </c>
      <c r="G46" s="3" t="s">
        <v>76</v>
      </c>
      <c r="H46" s="3" t="s">
        <v>28</v>
      </c>
      <c r="I46" s="3">
        <v>40</v>
      </c>
      <c r="J46" s="3">
        <v>40</v>
      </c>
      <c r="K46" s="3" t="s">
        <v>490</v>
      </c>
      <c r="L46" s="3" t="s">
        <v>491</v>
      </c>
      <c r="M46" s="3" t="s">
        <v>489</v>
      </c>
      <c r="Q46" s="3" t="s">
        <v>482</v>
      </c>
      <c r="R46" s="3" t="s">
        <v>494</v>
      </c>
      <c r="T46" s="15" t="s">
        <v>86</v>
      </c>
    </row>
    <row r="47" spans="1:20" x14ac:dyDescent="0.2">
      <c r="A47" s="14">
        <v>46</v>
      </c>
      <c r="B47" s="1" t="s">
        <v>507</v>
      </c>
      <c r="M47" s="3" t="s">
        <v>489</v>
      </c>
      <c r="T47" s="15" t="s">
        <v>86</v>
      </c>
    </row>
    <row r="48" spans="1:20" x14ac:dyDescent="0.2">
      <c r="A48" s="14">
        <v>47</v>
      </c>
      <c r="B48" s="1" t="s">
        <v>512</v>
      </c>
      <c r="M48" s="3" t="s">
        <v>412</v>
      </c>
      <c r="T48" s="15" t="s">
        <v>376</v>
      </c>
    </row>
    <row r="49" spans="1:20" ht="81" x14ac:dyDescent="0.2">
      <c r="A49" s="8">
        <v>48</v>
      </c>
      <c r="B49" s="1" t="s">
        <v>429</v>
      </c>
      <c r="C49" s="3" t="s">
        <v>481</v>
      </c>
      <c r="D49" s="5" t="s">
        <v>50</v>
      </c>
      <c r="E49" s="5" t="s">
        <v>54</v>
      </c>
      <c r="F49" s="5" t="s">
        <v>3</v>
      </c>
      <c r="G49" s="3" t="s">
        <v>56</v>
      </c>
      <c r="H49" s="3" t="s">
        <v>28</v>
      </c>
      <c r="I49" s="3">
        <v>50</v>
      </c>
      <c r="J49" s="3">
        <v>80</v>
      </c>
      <c r="K49" s="3" t="s">
        <v>67</v>
      </c>
      <c r="L49" s="3" t="s">
        <v>467</v>
      </c>
      <c r="M49" s="3" t="s">
        <v>466</v>
      </c>
      <c r="N49" s="3" t="s">
        <v>62</v>
      </c>
      <c r="O49" s="3" t="s">
        <v>65</v>
      </c>
      <c r="P49" s="3" t="s">
        <v>63</v>
      </c>
      <c r="R49" s="3" t="s">
        <v>71</v>
      </c>
      <c r="T49" s="7" t="s">
        <v>85</v>
      </c>
    </row>
    <row r="50" spans="1:20" ht="108" x14ac:dyDescent="0.2">
      <c r="A50" s="8">
        <v>49</v>
      </c>
      <c r="B50" s="1" t="s">
        <v>464</v>
      </c>
      <c r="C50" s="3" t="s">
        <v>308</v>
      </c>
      <c r="D50" s="5" t="s">
        <v>50</v>
      </c>
      <c r="E50" s="5" t="s">
        <v>54</v>
      </c>
      <c r="F50" s="5" t="s">
        <v>274</v>
      </c>
      <c r="G50" s="3" t="s">
        <v>468</v>
      </c>
      <c r="H50" s="3" t="s">
        <v>56</v>
      </c>
      <c r="I50" s="3">
        <v>50</v>
      </c>
      <c r="J50" s="3">
        <v>60</v>
      </c>
      <c r="K50" s="3" t="s">
        <v>67</v>
      </c>
      <c r="L50" s="3" t="s">
        <v>467</v>
      </c>
      <c r="M50" s="3" t="s">
        <v>124</v>
      </c>
      <c r="N50" s="3" t="s">
        <v>62</v>
      </c>
      <c r="O50" s="3" t="s">
        <v>65</v>
      </c>
      <c r="P50" s="3" t="s">
        <v>63</v>
      </c>
      <c r="R50" s="3" t="s">
        <v>465</v>
      </c>
      <c r="T50" s="7" t="s">
        <v>85</v>
      </c>
    </row>
    <row r="51" spans="1:20" ht="41.25" x14ac:dyDescent="0.2">
      <c r="A51" s="8">
        <v>50</v>
      </c>
      <c r="B51" s="1" t="s">
        <v>460</v>
      </c>
      <c r="C51" s="3" t="s">
        <v>459</v>
      </c>
      <c r="D51" s="5" t="s">
        <v>50</v>
      </c>
      <c r="E51" s="5" t="s">
        <v>406</v>
      </c>
      <c r="F51" s="5" t="s">
        <v>274</v>
      </c>
      <c r="G51" s="3" t="s">
        <v>287</v>
      </c>
      <c r="H51" s="3" t="s">
        <v>318</v>
      </c>
      <c r="I51" s="3">
        <v>50</v>
      </c>
      <c r="J51" s="3">
        <v>70</v>
      </c>
      <c r="K51" s="3" t="s">
        <v>67</v>
      </c>
      <c r="L51" s="3" t="s">
        <v>415</v>
      </c>
      <c r="M51" s="3" t="s">
        <v>124</v>
      </c>
      <c r="N51" s="3" t="s">
        <v>276</v>
      </c>
      <c r="O51" s="3" t="s">
        <v>296</v>
      </c>
      <c r="Q51" s="21"/>
      <c r="T51" s="7" t="s">
        <v>85</v>
      </c>
    </row>
    <row r="52" spans="1:20" ht="108" x14ac:dyDescent="0.2">
      <c r="A52" s="8">
        <v>51</v>
      </c>
      <c r="B52" s="1" t="s">
        <v>463</v>
      </c>
      <c r="C52" s="3" t="s">
        <v>83</v>
      </c>
      <c r="D52" s="5" t="s">
        <v>50</v>
      </c>
      <c r="E52" s="5" t="s">
        <v>256</v>
      </c>
      <c r="F52" s="5" t="s">
        <v>255</v>
      </c>
      <c r="G52" s="3" t="s">
        <v>287</v>
      </c>
      <c r="H52" s="3" t="s">
        <v>28</v>
      </c>
      <c r="I52" s="3">
        <v>50</v>
      </c>
      <c r="J52" s="3">
        <v>70</v>
      </c>
      <c r="K52" s="3" t="s">
        <v>67</v>
      </c>
      <c r="L52" s="3" t="s">
        <v>462</v>
      </c>
      <c r="M52" s="3" t="s">
        <v>124</v>
      </c>
      <c r="N52" s="3" t="s">
        <v>258</v>
      </c>
      <c r="Q52" s="3" t="s">
        <v>257</v>
      </c>
      <c r="R52" s="3" t="s">
        <v>461</v>
      </c>
      <c r="T52" s="7" t="s">
        <v>85</v>
      </c>
    </row>
    <row r="53" spans="1:20" x14ac:dyDescent="0.2">
      <c r="A53" s="14">
        <v>52</v>
      </c>
      <c r="B53" s="1" t="s">
        <v>509</v>
      </c>
      <c r="M53" s="3" t="s">
        <v>355</v>
      </c>
      <c r="T53" s="15" t="s">
        <v>86</v>
      </c>
    </row>
    <row r="54" spans="1:20" x14ac:dyDescent="0.2">
      <c r="A54" s="14">
        <v>53</v>
      </c>
      <c r="B54" s="1" t="s">
        <v>510</v>
      </c>
      <c r="M54" s="3" t="s">
        <v>355</v>
      </c>
      <c r="T54" s="15" t="s">
        <v>86</v>
      </c>
    </row>
    <row r="55" spans="1:20" x14ac:dyDescent="0.2">
      <c r="A55" s="14">
        <v>54</v>
      </c>
      <c r="B55" s="1" t="s">
        <v>511</v>
      </c>
      <c r="M55" s="3" t="s">
        <v>355</v>
      </c>
      <c r="T55" s="15" t="s">
        <v>86</v>
      </c>
    </row>
    <row r="56" spans="1:20" x14ac:dyDescent="0.2">
      <c r="A56" s="14">
        <v>55</v>
      </c>
      <c r="B56" s="1" t="s">
        <v>508</v>
      </c>
      <c r="M56" s="3" t="s">
        <v>355</v>
      </c>
      <c r="T56" s="15" t="s">
        <v>86</v>
      </c>
    </row>
    <row r="57" spans="1:20" x14ac:dyDescent="0.2">
      <c r="A57" s="1" t="s">
        <v>266</v>
      </c>
      <c r="B57" s="1" t="s">
        <v>267</v>
      </c>
    </row>
    <row r="58" spans="1:20" x14ac:dyDescent="0.2">
      <c r="A58" s="1" t="s">
        <v>519</v>
      </c>
      <c r="B58" s="1" t="s">
        <v>519</v>
      </c>
    </row>
    <row r="59" spans="1:20" x14ac:dyDescent="0.2">
      <c r="A59" s="1" t="s">
        <v>80</v>
      </c>
      <c r="B59" s="1" t="s">
        <v>79</v>
      </c>
    </row>
    <row r="60" spans="1:20" x14ac:dyDescent="0.2">
      <c r="A60" s="1" t="s">
        <v>422</v>
      </c>
      <c r="B60" s="1" t="s">
        <v>422</v>
      </c>
    </row>
    <row r="61" spans="1:20" x14ac:dyDescent="0.2">
      <c r="A61" s="1" t="s">
        <v>39</v>
      </c>
      <c r="B61" s="1" t="s">
        <v>40</v>
      </c>
    </row>
    <row r="62" spans="1:20" x14ac:dyDescent="0.2">
      <c r="A62" s="1" t="s">
        <v>81</v>
      </c>
      <c r="B62" s="1" t="s">
        <v>41</v>
      </c>
    </row>
  </sheetData>
  <autoFilter ref="A1:T390" xr:uid="{2469A451-522C-4C7D-875B-DEF797B2B8C7}"/>
  <phoneticPr fontId="2" type="noConversion"/>
  <pageMargins left="0.7" right="0.7" top="0.78740157499999996" bottom="0.78740157499999996" header="0.3" footer="0.3"/>
  <pageSetup paperSize="9" orientation="portrait" r:id="rId1"/>
  <ignoredErrors>
    <ignoredError sqref="D6 D8:E8 E34 D33:E33 D9:F16 D27:F32 D59:F59 D37:F37 D34:D35 F35 D19:F19 D57:F57"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D24D8-75D8-4D57-9436-D3F1494CF782}">
  <dimension ref="A1:G23"/>
  <sheetViews>
    <sheetView workbookViewId="0"/>
  </sheetViews>
  <sheetFormatPr defaultColWidth="10.76171875" defaultRowHeight="15" x14ac:dyDescent="0.2"/>
  <cols>
    <col min="1" max="1" width="17.484375" bestFit="1" customWidth="1"/>
    <col min="3" max="3" width="22.328125" bestFit="1" customWidth="1"/>
    <col min="4" max="7" width="13.71875" customWidth="1"/>
  </cols>
  <sheetData>
    <row r="1" spans="1:7" x14ac:dyDescent="0.2">
      <c r="A1" s="18" t="s">
        <v>383</v>
      </c>
    </row>
    <row r="2" spans="1:7" x14ac:dyDescent="0.2">
      <c r="A2" t="s">
        <v>209</v>
      </c>
      <c r="B2">
        <v>8</v>
      </c>
    </row>
    <row r="3" spans="1:7" x14ac:dyDescent="0.2">
      <c r="A3" t="s">
        <v>203</v>
      </c>
      <c r="B3">
        <v>10</v>
      </c>
    </row>
    <row r="4" spans="1:7" x14ac:dyDescent="0.2">
      <c r="A4" t="s">
        <v>204</v>
      </c>
      <c r="B4">
        <v>9</v>
      </c>
    </row>
    <row r="5" spans="1:7" x14ac:dyDescent="0.2">
      <c r="A5" t="s">
        <v>205</v>
      </c>
      <c r="B5">
        <v>8</v>
      </c>
    </row>
    <row r="6" spans="1:7" x14ac:dyDescent="0.2">
      <c r="A6" t="s">
        <v>206</v>
      </c>
      <c r="B6">
        <v>8</v>
      </c>
      <c r="C6" t="s">
        <v>208</v>
      </c>
    </row>
    <row r="7" spans="1:7" x14ac:dyDescent="0.2">
      <c r="A7" t="s">
        <v>207</v>
      </c>
      <c r="B7">
        <v>4</v>
      </c>
    </row>
    <row r="8" spans="1:7" x14ac:dyDescent="0.2">
      <c r="A8" t="s">
        <v>427</v>
      </c>
      <c r="B8">
        <v>1</v>
      </c>
    </row>
    <row r="9" spans="1:7" x14ac:dyDescent="0.2">
      <c r="A9" t="s">
        <v>426</v>
      </c>
    </row>
    <row r="10" spans="1:7" x14ac:dyDescent="0.2">
      <c r="A10" t="s">
        <v>210</v>
      </c>
    </row>
    <row r="11" spans="1:7" x14ac:dyDescent="0.2">
      <c r="A11" t="s">
        <v>211</v>
      </c>
    </row>
    <row r="12" spans="1:7" x14ac:dyDescent="0.2">
      <c r="A12" t="s">
        <v>145</v>
      </c>
    </row>
    <row r="13" spans="1:7" x14ac:dyDescent="0.2">
      <c r="A13" t="s">
        <v>225</v>
      </c>
      <c r="B13">
        <v>6</v>
      </c>
      <c r="C13" t="s">
        <v>247</v>
      </c>
      <c r="D13" t="s">
        <v>382</v>
      </c>
    </row>
    <row r="16" spans="1:7" ht="27.75" x14ac:dyDescent="0.2">
      <c r="A16" s="20" t="s">
        <v>392</v>
      </c>
      <c r="B16" s="4" t="s">
        <v>384</v>
      </c>
      <c r="C16" s="4" t="s">
        <v>386</v>
      </c>
      <c r="D16" s="4" t="s">
        <v>385</v>
      </c>
      <c r="E16" s="4" t="s">
        <v>387</v>
      </c>
      <c r="F16" s="1" t="s">
        <v>394</v>
      </c>
      <c r="G16" s="1" t="s">
        <v>393</v>
      </c>
    </row>
    <row r="17" spans="1:7" x14ac:dyDescent="0.2">
      <c r="A17" t="s">
        <v>13</v>
      </c>
      <c r="B17">
        <v>3</v>
      </c>
      <c r="C17">
        <v>2</v>
      </c>
      <c r="D17">
        <v>3</v>
      </c>
      <c r="E17">
        <f>B17*C17*D17</f>
        <v>18</v>
      </c>
      <c r="F17">
        <v>6</v>
      </c>
      <c r="G17">
        <f>E17*F17</f>
        <v>108</v>
      </c>
    </row>
    <row r="18" spans="1:7" x14ac:dyDescent="0.2">
      <c r="A18" t="s">
        <v>139</v>
      </c>
      <c r="B18">
        <v>4</v>
      </c>
      <c r="C18">
        <v>3</v>
      </c>
      <c r="D18">
        <v>2</v>
      </c>
      <c r="E18">
        <f>B18*C18*D18</f>
        <v>24</v>
      </c>
      <c r="F18">
        <v>7</v>
      </c>
      <c r="G18">
        <f>E18*F18</f>
        <v>168</v>
      </c>
    </row>
    <row r="19" spans="1:7" x14ac:dyDescent="0.2">
      <c r="A19" t="s">
        <v>388</v>
      </c>
      <c r="B19">
        <v>6</v>
      </c>
      <c r="C19">
        <v>1</v>
      </c>
      <c r="D19">
        <v>1</v>
      </c>
      <c r="E19">
        <f>B19*C19*D19</f>
        <v>6</v>
      </c>
      <c r="F19">
        <v>6</v>
      </c>
      <c r="G19">
        <f>E19*F19</f>
        <v>36</v>
      </c>
    </row>
    <row r="20" spans="1:7" x14ac:dyDescent="0.2">
      <c r="A20" t="s">
        <v>390</v>
      </c>
      <c r="B20">
        <v>1</v>
      </c>
      <c r="C20">
        <v>1</v>
      </c>
      <c r="D20">
        <v>1</v>
      </c>
      <c r="E20">
        <v>6</v>
      </c>
      <c r="F20">
        <v>6</v>
      </c>
      <c r="G20">
        <f>E20*F20*-1</f>
        <v>-36</v>
      </c>
    </row>
    <row r="21" spans="1:7" x14ac:dyDescent="0.2">
      <c r="A21" t="s">
        <v>391</v>
      </c>
      <c r="B21">
        <v>1</v>
      </c>
      <c r="C21">
        <v>1</v>
      </c>
      <c r="D21">
        <v>1</v>
      </c>
      <c r="E21">
        <v>6</v>
      </c>
      <c r="F21">
        <v>6</v>
      </c>
      <c r="G21">
        <f>E21*F21*-1</f>
        <v>-36</v>
      </c>
    </row>
    <row r="22" spans="1:7" x14ac:dyDescent="0.2">
      <c r="A22" s="19"/>
      <c r="B22" s="19"/>
      <c r="C22" s="19"/>
      <c r="D22" s="19"/>
      <c r="E22" s="19"/>
      <c r="F22" s="19"/>
      <c r="G22" s="19"/>
    </row>
    <row r="23" spans="1:7" s="18" customFormat="1" x14ac:dyDescent="0.2">
      <c r="A23" s="18" t="s">
        <v>389</v>
      </c>
      <c r="E23" s="18">
        <f>SUM(E17:E22)</f>
        <v>60</v>
      </c>
      <c r="G23" s="18">
        <f>SUM(G17:G22)</f>
        <v>240</v>
      </c>
    </row>
  </sheetData>
  <phoneticPr fontId="2" type="noConversion"/>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316F2-60DD-4AB7-9BBF-8E487289C971}">
  <dimension ref="A1:B8"/>
  <sheetViews>
    <sheetView workbookViewId="0"/>
  </sheetViews>
  <sheetFormatPr defaultColWidth="10.76171875" defaultRowHeight="15" x14ac:dyDescent="0.2"/>
  <sheetData>
    <row r="1" spans="1:2" x14ac:dyDescent="0.2">
      <c r="A1" t="s">
        <v>85</v>
      </c>
      <c r="B1" t="s">
        <v>374</v>
      </c>
    </row>
    <row r="2" spans="1:2" x14ac:dyDescent="0.2">
      <c r="A2" t="s">
        <v>87</v>
      </c>
      <c r="B2" t="s">
        <v>373</v>
      </c>
    </row>
    <row r="3" spans="1:2" x14ac:dyDescent="0.2">
      <c r="A3" t="s">
        <v>304</v>
      </c>
      <c r="B3" t="s">
        <v>372</v>
      </c>
    </row>
    <row r="4" spans="1:2" x14ac:dyDescent="0.2">
      <c r="A4" t="s">
        <v>380</v>
      </c>
      <c r="B4" t="s">
        <v>372</v>
      </c>
    </row>
    <row r="5" spans="1:2" x14ac:dyDescent="0.2">
      <c r="A5" t="s">
        <v>86</v>
      </c>
      <c r="B5" t="s">
        <v>375</v>
      </c>
    </row>
    <row r="6" spans="1:2" x14ac:dyDescent="0.2">
      <c r="A6" t="s">
        <v>376</v>
      </c>
      <c r="B6" t="s">
        <v>375</v>
      </c>
    </row>
    <row r="7" spans="1:2" x14ac:dyDescent="0.2">
      <c r="A7" t="s">
        <v>377</v>
      </c>
      <c r="B7" t="s">
        <v>378</v>
      </c>
    </row>
    <row r="8" spans="1:2" x14ac:dyDescent="0.2">
      <c r="A8" t="s">
        <v>379</v>
      </c>
      <c r="B8" t="s">
        <v>378</v>
      </c>
    </row>
  </sheetData>
  <pageMargins left="0.7" right="0.7" top="0.78740157499999996" bottom="0.78740157499999996"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D8603-542C-4D2B-8BBD-FB72427EB8D8}">
  <dimension ref="A1:AZ99"/>
  <sheetViews>
    <sheetView workbookViewId="0">
      <selection activeCell="AZ69" sqref="A1:AZ69"/>
    </sheetView>
  </sheetViews>
  <sheetFormatPr defaultColWidth="5.51171875" defaultRowHeight="15.95" customHeight="1" x14ac:dyDescent="0.2"/>
  <cols>
    <col min="1" max="1" width="8.203125" style="22" customWidth="1"/>
    <col min="2" max="2" width="9.81640625" style="22" bestFit="1" customWidth="1"/>
    <col min="3" max="16384" width="5.51171875" style="22"/>
  </cols>
  <sheetData>
    <row r="1" spans="1:52" ht="15.95" customHeight="1" x14ac:dyDescent="0.2">
      <c r="A1" s="46" t="s">
        <v>526</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row>
    <row r="2" spans="1:52" ht="15.95" customHeight="1" x14ac:dyDescent="0.2">
      <c r="A2" s="46" t="s">
        <v>182</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row>
    <row r="3" spans="1:52" ht="15.95" customHeight="1" x14ac:dyDescent="0.2">
      <c r="A3" s="46" t="s">
        <v>183</v>
      </c>
      <c r="B3" s="46"/>
      <c r="C3" s="46"/>
      <c r="D3" s="46"/>
      <c r="E3" s="46"/>
      <c r="F3" s="46"/>
      <c r="G3" s="46"/>
      <c r="H3" s="46"/>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6"/>
      <c r="AW3" s="46"/>
      <c r="AX3" s="46"/>
      <c r="AY3" s="46"/>
      <c r="AZ3" s="46"/>
    </row>
    <row r="4" spans="1:52" ht="15.95" customHeight="1" x14ac:dyDescent="0.2">
      <c r="A4" s="46" t="s">
        <v>184</v>
      </c>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46"/>
      <c r="AZ4" s="46"/>
    </row>
    <row r="5" spans="1:52" ht="15.95" customHeight="1" x14ac:dyDescent="0.2">
      <c r="A5" s="46" t="s">
        <v>179</v>
      </c>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row>
    <row r="6" spans="1:52" ht="15.95" customHeight="1" x14ac:dyDescent="0.2">
      <c r="A6" s="46" t="s">
        <v>180</v>
      </c>
      <c r="B6" s="46"/>
      <c r="C6" s="46"/>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row>
    <row r="7" spans="1:52" ht="15.95" customHeight="1" x14ac:dyDescent="0.2">
      <c r="A7" s="46" t="s">
        <v>181</v>
      </c>
      <c r="B7" s="46"/>
      <c r="C7" s="46"/>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row>
    <row r="8" spans="1:52" ht="15.95" customHeight="1" x14ac:dyDescent="0.2">
      <c r="A8" s="46" t="s">
        <v>188</v>
      </c>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row>
    <row r="9" spans="1:52" ht="15.95" customHeight="1" x14ac:dyDescent="0.2">
      <c r="A9" s="46" t="s">
        <v>189</v>
      </c>
      <c r="B9" s="46"/>
      <c r="C9" s="46"/>
      <c r="D9" s="46"/>
      <c r="E9" s="46"/>
      <c r="F9" s="46"/>
      <c r="G9" s="46"/>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row>
    <row r="10" spans="1:52" ht="15.95" customHeight="1" x14ac:dyDescent="0.2">
      <c r="A10" s="46" t="s">
        <v>190</v>
      </c>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row>
    <row r="11" spans="1:52" ht="15.95" customHeight="1" x14ac:dyDescent="0.2">
      <c r="A11" s="46" t="s">
        <v>185</v>
      </c>
      <c r="B11" s="46"/>
      <c r="C11" s="46"/>
      <c r="D11" s="46"/>
      <c r="E11" s="46"/>
      <c r="F11" s="46"/>
      <c r="G11" s="46"/>
      <c r="H11" s="46"/>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row>
    <row r="12" spans="1:52" ht="15.95" customHeight="1" x14ac:dyDescent="0.2">
      <c r="A12" s="46" t="s">
        <v>186</v>
      </c>
      <c r="B12" s="46"/>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row>
    <row r="13" spans="1:52" ht="15.95" customHeight="1" x14ac:dyDescent="0.2">
      <c r="A13" s="46" t="s">
        <v>187</v>
      </c>
      <c r="B13" s="46"/>
      <c r="C13" s="46"/>
      <c r="D13" s="46"/>
      <c r="E13" s="46"/>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row>
    <row r="14" spans="1:52" ht="15.95" customHeight="1" x14ac:dyDescent="0.2">
      <c r="A14" s="46" t="s">
        <v>196</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row>
    <row r="15" spans="1:52" ht="15.95" customHeight="1" x14ac:dyDescent="0.2">
      <c r="A15" s="46" t="s">
        <v>197</v>
      </c>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row>
    <row r="16" spans="1:52" ht="15.95" customHeight="1" x14ac:dyDescent="0.2">
      <c r="A16" s="46" t="s">
        <v>198</v>
      </c>
      <c r="B16" s="46"/>
      <c r="C16" s="46"/>
      <c r="D16" s="46"/>
      <c r="E16" s="46"/>
      <c r="F16" s="46"/>
      <c r="G16" s="46"/>
      <c r="H16" s="46"/>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row>
    <row r="17" spans="1:52" ht="15.95" customHeight="1" x14ac:dyDescent="0.2">
      <c r="A17" s="46" t="s">
        <v>191</v>
      </c>
      <c r="B17" s="46"/>
      <c r="C17" s="46"/>
      <c r="D17" s="46"/>
      <c r="E17" s="46"/>
      <c r="F17" s="46"/>
      <c r="G17" s="46"/>
      <c r="H17" s="46"/>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row>
    <row r="18" spans="1:52" ht="15.95" customHeight="1" x14ac:dyDescent="0.2">
      <c r="A18" s="46" t="s">
        <v>192</v>
      </c>
      <c r="B18" s="46"/>
      <c r="C18" s="46"/>
      <c r="D18" s="46"/>
      <c r="E18" s="46"/>
      <c r="F18" s="46"/>
      <c r="G18" s="46"/>
      <c r="H18" s="46"/>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row>
    <row r="19" spans="1:52" ht="15.95" customHeight="1" x14ac:dyDescent="0.2">
      <c r="A19" s="46" t="s">
        <v>193</v>
      </c>
      <c r="B19" s="46"/>
      <c r="C19" s="46"/>
      <c r="D19" s="46"/>
      <c r="E19" s="46"/>
      <c r="F19" s="46"/>
      <c r="G19" s="46"/>
      <c r="H19" s="46"/>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row>
    <row r="20" spans="1:52" ht="15.95" customHeight="1" x14ac:dyDescent="0.2">
      <c r="A20" s="46" t="s">
        <v>148</v>
      </c>
      <c r="B20" s="46"/>
      <c r="C20" s="46"/>
      <c r="D20" s="46"/>
      <c r="E20" s="46"/>
      <c r="F20" s="46"/>
      <c r="G20" s="46"/>
      <c r="H20" s="46"/>
      <c r="I20" s="46"/>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row>
    <row r="21" spans="1:52" ht="15.95" customHeight="1" x14ac:dyDescent="0.2">
      <c r="A21" s="46" t="s">
        <v>149</v>
      </c>
      <c r="B21" s="46"/>
      <c r="C21" s="46"/>
      <c r="D21" s="46"/>
      <c r="E21" s="46"/>
      <c r="F21" s="46"/>
      <c r="G21" s="46"/>
      <c r="H21" s="46"/>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row>
    <row r="22" spans="1:52" ht="15.95" customHeight="1" x14ac:dyDescent="0.2">
      <c r="A22" s="46" t="s">
        <v>150</v>
      </c>
      <c r="B22" s="46"/>
      <c r="C22" s="46"/>
      <c r="D22" s="46"/>
      <c r="E22" s="46"/>
      <c r="F22" s="46"/>
      <c r="G22" s="46"/>
      <c r="H22" s="46"/>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row>
    <row r="23" spans="1:52" ht="15.95" customHeight="1" x14ac:dyDescent="0.2">
      <c r="A23" s="46" t="s">
        <v>140</v>
      </c>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row>
    <row r="24" spans="1:52" ht="15.95" customHeight="1" x14ac:dyDescent="0.2">
      <c r="A24" s="46" t="s">
        <v>142</v>
      </c>
      <c r="B24" s="46"/>
      <c r="C24" s="46"/>
      <c r="D24" s="46"/>
      <c r="E24" s="46"/>
      <c r="F24" s="46"/>
      <c r="G24" s="46"/>
      <c r="H24" s="46"/>
      <c r="I24" s="46"/>
      <c r="J24" s="46"/>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6"/>
    </row>
    <row r="25" spans="1:52" ht="15.95" customHeight="1" x14ac:dyDescent="0.2">
      <c r="A25" s="46" t="s">
        <v>143</v>
      </c>
      <c r="B25" s="46"/>
      <c r="C25" s="46"/>
      <c r="D25" s="46"/>
      <c r="E25" s="46"/>
      <c r="F25" s="46"/>
      <c r="G25" s="46"/>
      <c r="H25" s="46"/>
      <c r="I25" s="46"/>
      <c r="J25" s="46"/>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6"/>
      <c r="AR25" s="46"/>
      <c r="AS25" s="46"/>
      <c r="AT25" s="46"/>
      <c r="AU25" s="46"/>
      <c r="AV25" s="46"/>
      <c r="AW25" s="46"/>
      <c r="AX25" s="46"/>
      <c r="AY25" s="46"/>
      <c r="AZ25" s="46"/>
    </row>
    <row r="26" spans="1:52" ht="15.95" customHeight="1" x14ac:dyDescent="0.2">
      <c r="A26" s="46" t="s">
        <v>22</v>
      </c>
      <c r="B26" s="46"/>
      <c r="C26" s="46"/>
      <c r="D26" s="46"/>
      <c r="E26" s="46"/>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row>
    <row r="27" spans="1:52" ht="15.95" customHeight="1" x14ac:dyDescent="0.2">
      <c r="A27" s="46" t="s">
        <v>23</v>
      </c>
      <c r="B27" s="46"/>
      <c r="C27" s="46"/>
      <c r="D27" s="46"/>
      <c r="E27" s="46"/>
      <c r="F27" s="46"/>
      <c r="G27" s="46"/>
      <c r="H27" s="46"/>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row>
    <row r="28" spans="1:52" ht="15.95" customHeight="1" x14ac:dyDescent="0.2">
      <c r="A28" s="46" t="s">
        <v>14</v>
      </c>
      <c r="B28" s="46"/>
      <c r="C28" s="46"/>
      <c r="D28" s="46"/>
      <c r="E28" s="46"/>
      <c r="F28" s="46"/>
      <c r="G28" s="46"/>
      <c r="H28" s="46"/>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row>
    <row r="29" spans="1:52" ht="15.95" customHeight="1" x14ac:dyDescent="0.2">
      <c r="A29" s="46" t="s">
        <v>21</v>
      </c>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row>
    <row r="30" spans="1:52" ht="15.95" customHeight="1" x14ac:dyDescent="0.2">
      <c r="A30" s="46" t="s">
        <v>24</v>
      </c>
      <c r="B30" s="46"/>
      <c r="C30" s="46"/>
      <c r="D30" s="46"/>
      <c r="E30" s="46"/>
      <c r="F30" s="46"/>
      <c r="G30" s="46"/>
      <c r="H30" s="46"/>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46"/>
      <c r="AR30" s="46"/>
      <c r="AS30" s="46"/>
      <c r="AT30" s="46"/>
      <c r="AU30" s="46"/>
      <c r="AV30" s="46"/>
      <c r="AW30" s="46"/>
      <c r="AX30" s="46"/>
      <c r="AY30" s="46"/>
      <c r="AZ30" s="46"/>
    </row>
    <row r="31" spans="1:52" ht="15.95" customHeight="1" x14ac:dyDescent="0.2">
      <c r="A31" s="46" t="s">
        <v>25</v>
      </c>
      <c r="B31" s="46"/>
      <c r="C31" s="46"/>
      <c r="D31" s="46"/>
      <c r="E31" s="46"/>
      <c r="F31" s="46"/>
      <c r="G31" s="46"/>
      <c r="H31" s="46"/>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6"/>
    </row>
    <row r="32" spans="1:52" ht="15.95" customHeight="1" x14ac:dyDescent="0.2">
      <c r="A32" s="46" t="s">
        <v>215</v>
      </c>
      <c r="B32" s="46"/>
      <c r="C32" s="46"/>
      <c r="D32" s="46"/>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row>
    <row r="33" spans="1:52" ht="15.95" customHeight="1" x14ac:dyDescent="0.2">
      <c r="A33" s="46" t="s">
        <v>216</v>
      </c>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row>
    <row r="34" spans="1:52" ht="15.95" customHeight="1" x14ac:dyDescent="0.2">
      <c r="A34" s="46" t="s">
        <v>430</v>
      </c>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row>
    <row r="35" spans="1:52" ht="15.95" customHeight="1" x14ac:dyDescent="0.2">
      <c r="A35" s="46" t="s">
        <v>524</v>
      </c>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row>
    <row r="36" spans="1:52" ht="15.95" customHeight="1" x14ac:dyDescent="0.2">
      <c r="A36" s="46" t="s">
        <v>217</v>
      </c>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row>
    <row r="37" spans="1:52" ht="15.95" customHeight="1" x14ac:dyDescent="0.2">
      <c r="A37" s="46" t="s">
        <v>218</v>
      </c>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6"/>
      <c r="AX37" s="46"/>
      <c r="AY37" s="46"/>
      <c r="AZ37" s="46"/>
    </row>
    <row r="38" spans="1:52" ht="15.95" customHeight="1" x14ac:dyDescent="0.2">
      <c r="A38" s="46" t="s">
        <v>431</v>
      </c>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row>
    <row r="39" spans="1:52" ht="15.95" customHeight="1" x14ac:dyDescent="0.2">
      <c r="A39" s="46" t="s">
        <v>214</v>
      </c>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row>
    <row r="40" spans="1:52" ht="15.95" customHeight="1" x14ac:dyDescent="0.2">
      <c r="A40" s="46" t="s">
        <v>213</v>
      </c>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row>
    <row r="41" spans="1:52" ht="15.95" customHeight="1" x14ac:dyDescent="0.2">
      <c r="A41" s="46" t="s">
        <v>523</v>
      </c>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row>
    <row r="42" spans="1:52" ht="15.95" customHeight="1" x14ac:dyDescent="0.2">
      <c r="A42" s="46" t="s">
        <v>221</v>
      </c>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row>
    <row r="43" spans="1:52" ht="15.95" customHeight="1" x14ac:dyDescent="0.2">
      <c r="A43" s="46" t="s">
        <v>222</v>
      </c>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row>
    <row r="44" spans="1:52" ht="15.95" customHeight="1" x14ac:dyDescent="0.2">
      <c r="A44" s="46" t="s">
        <v>434</v>
      </c>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46"/>
      <c r="AT44" s="46"/>
      <c r="AU44" s="46"/>
      <c r="AV44" s="46"/>
      <c r="AW44" s="46"/>
      <c r="AX44" s="46"/>
      <c r="AY44" s="46"/>
      <c r="AZ44" s="46"/>
    </row>
    <row r="45" spans="1:52" ht="15.95" customHeight="1" x14ac:dyDescent="0.2">
      <c r="A45" s="46" t="s">
        <v>516</v>
      </c>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c r="AT45" s="46"/>
      <c r="AU45" s="46"/>
      <c r="AV45" s="46"/>
      <c r="AW45" s="46"/>
      <c r="AX45" s="46"/>
      <c r="AY45" s="46"/>
      <c r="AZ45" s="46"/>
    </row>
    <row r="46" spans="1:52" ht="15.95" customHeight="1" x14ac:dyDescent="0.2">
      <c r="A46" s="46" t="s">
        <v>517</v>
      </c>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row>
    <row r="47" spans="1:52" ht="15.95" customHeight="1" x14ac:dyDescent="0.2">
      <c r="A47" s="46" t="s">
        <v>518</v>
      </c>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c r="AB47" s="46"/>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row>
    <row r="48" spans="1:52" ht="15.95" customHeight="1" x14ac:dyDescent="0.2">
      <c r="A48" s="46" t="s">
        <v>223</v>
      </c>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row>
    <row r="49" spans="1:52" ht="15.95" customHeight="1" x14ac:dyDescent="0.2">
      <c r="A49" s="46" t="s">
        <v>224</v>
      </c>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row>
    <row r="50" spans="1:52" ht="15.95" customHeight="1" x14ac:dyDescent="0.2">
      <c r="A50" s="46" t="s">
        <v>435</v>
      </c>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row>
    <row r="51" spans="1:52" ht="15.95" customHeight="1" x14ac:dyDescent="0.2">
      <c r="A51" s="46" t="s">
        <v>436</v>
      </c>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row>
    <row r="52" spans="1:52" ht="15.95" customHeight="1" x14ac:dyDescent="0.2">
      <c r="A52" s="46" t="s">
        <v>219</v>
      </c>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row>
    <row r="53" spans="1:52" ht="15.95" customHeight="1" x14ac:dyDescent="0.2">
      <c r="A53" s="46" t="s">
        <v>220</v>
      </c>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row>
    <row r="54" spans="1:52" ht="15.95" customHeight="1" x14ac:dyDescent="0.2">
      <c r="A54" s="46" t="s">
        <v>521</v>
      </c>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c r="AB54" s="46"/>
      <c r="AC54" s="46"/>
      <c r="AD54" s="46"/>
      <c r="AE54" s="46"/>
      <c r="AF54" s="46"/>
      <c r="AG54" s="46"/>
      <c r="AH54" s="46"/>
      <c r="AI54" s="46"/>
      <c r="AJ54" s="46"/>
      <c r="AK54" s="46"/>
      <c r="AL54" s="46"/>
      <c r="AM54" s="46"/>
      <c r="AN54" s="46"/>
      <c r="AO54" s="46"/>
      <c r="AP54" s="46"/>
      <c r="AQ54" s="46"/>
      <c r="AR54" s="46"/>
      <c r="AS54" s="46"/>
      <c r="AT54" s="46"/>
      <c r="AU54" s="46"/>
      <c r="AV54" s="46"/>
      <c r="AW54" s="46"/>
      <c r="AX54" s="46"/>
      <c r="AY54" s="46"/>
      <c r="AZ54" s="46"/>
    </row>
    <row r="55" spans="1:52" ht="15.95" customHeight="1" x14ac:dyDescent="0.2">
      <c r="A55" s="46" t="s">
        <v>226</v>
      </c>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row>
    <row r="56" spans="1:52" ht="15.95" customHeight="1" x14ac:dyDescent="0.2">
      <c r="A56" s="46" t="s">
        <v>227</v>
      </c>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row>
    <row r="57" spans="1:52" ht="15.95" customHeight="1" x14ac:dyDescent="0.2">
      <c r="A57" s="46" t="s">
        <v>228</v>
      </c>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row>
    <row r="58" spans="1:52" ht="15.95" customHeight="1" x14ac:dyDescent="0.2">
      <c r="A58" s="46" t="s">
        <v>229</v>
      </c>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row>
    <row r="59" spans="1:52" ht="15.95" customHeight="1" x14ac:dyDescent="0.2">
      <c r="A59" s="46" t="s">
        <v>234</v>
      </c>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row>
    <row r="60" spans="1:52" ht="15.95" customHeight="1" x14ac:dyDescent="0.2">
      <c r="A60" s="46" t="s">
        <v>235</v>
      </c>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row>
    <row r="61" spans="1:52" ht="15.95" customHeight="1" x14ac:dyDescent="0.2">
      <c r="A61" s="46" t="s">
        <v>230</v>
      </c>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6"/>
    </row>
    <row r="62" spans="1:52" ht="15.95" customHeight="1" x14ac:dyDescent="0.2">
      <c r="A62" s="46" t="s">
        <v>236</v>
      </c>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row>
    <row r="63" spans="1:52" ht="15.95" customHeight="1" x14ac:dyDescent="0.2">
      <c r="A63" s="46" t="s">
        <v>237</v>
      </c>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row>
    <row r="64" spans="1:52" ht="15.95" customHeight="1" x14ac:dyDescent="0.2">
      <c r="A64" s="46" t="s">
        <v>231</v>
      </c>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row>
    <row r="65" spans="1:52" ht="15.95" customHeight="1" x14ac:dyDescent="0.2">
      <c r="A65" s="46" t="s">
        <v>238</v>
      </c>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6"/>
    </row>
    <row r="66" spans="1:52" ht="15.95" customHeight="1" x14ac:dyDescent="0.2">
      <c r="A66" s="46" t="s">
        <v>239</v>
      </c>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row>
    <row r="67" spans="1:52" ht="15.95" customHeight="1" x14ac:dyDescent="0.2">
      <c r="A67" s="46" t="s">
        <v>232</v>
      </c>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c r="AM67" s="46"/>
      <c r="AN67" s="46"/>
      <c r="AO67" s="46"/>
      <c r="AP67" s="46"/>
      <c r="AQ67" s="46"/>
      <c r="AR67" s="46"/>
      <c r="AS67" s="46"/>
      <c r="AT67" s="46"/>
      <c r="AU67" s="46"/>
      <c r="AV67" s="46"/>
      <c r="AW67" s="46"/>
      <c r="AX67" s="46"/>
      <c r="AY67" s="46"/>
      <c r="AZ67" s="46"/>
    </row>
    <row r="68" spans="1:52" ht="15.95" customHeight="1" x14ac:dyDescent="0.2">
      <c r="A68" s="46" t="s">
        <v>240</v>
      </c>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6"/>
    </row>
    <row r="69" spans="1:52" ht="15.95" customHeight="1" x14ac:dyDescent="0.2">
      <c r="A69" s="46" t="s">
        <v>241</v>
      </c>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row>
    <row r="71" spans="1:52" ht="15.95" customHeight="1" x14ac:dyDescent="0.2">
      <c r="A71"/>
      <c r="B71"/>
    </row>
    <row r="72" spans="1:52" ht="15.95" customHeight="1" x14ac:dyDescent="0.2">
      <c r="A72"/>
      <c r="B72"/>
    </row>
    <row r="73" spans="1:52" ht="15.95" customHeight="1" x14ac:dyDescent="0.2">
      <c r="A73"/>
      <c r="B73"/>
    </row>
    <row r="74" spans="1:52" ht="15.95" customHeight="1" x14ac:dyDescent="0.2">
      <c r="A74"/>
      <c r="B74"/>
    </row>
    <row r="75" spans="1:52" ht="15.95" customHeight="1" x14ac:dyDescent="0.2">
      <c r="A75"/>
      <c r="B75"/>
    </row>
    <row r="76" spans="1:52" ht="15.95" customHeight="1" x14ac:dyDescent="0.2">
      <c r="A76"/>
      <c r="B76"/>
    </row>
    <row r="77" spans="1:52" ht="15.95" customHeight="1" x14ac:dyDescent="0.2">
      <c r="A77"/>
      <c r="B77"/>
    </row>
    <row r="78" spans="1:52" ht="15.95" customHeight="1" x14ac:dyDescent="0.2">
      <c r="A78"/>
      <c r="B78"/>
    </row>
    <row r="79" spans="1:52" ht="15.95" customHeight="1" x14ac:dyDescent="0.2">
      <c r="A79"/>
      <c r="B79"/>
    </row>
    <row r="80" spans="1:52" ht="15.95" customHeight="1" x14ac:dyDescent="0.2">
      <c r="A80"/>
      <c r="B80"/>
    </row>
    <row r="81" spans="1:2" ht="15.95" customHeight="1" x14ac:dyDescent="0.2">
      <c r="A81"/>
      <c r="B81"/>
    </row>
    <row r="82" spans="1:2" ht="15.95" customHeight="1" x14ac:dyDescent="0.2">
      <c r="A82"/>
      <c r="B82"/>
    </row>
    <row r="83" spans="1:2" ht="15.95" customHeight="1" x14ac:dyDescent="0.2">
      <c r="A83"/>
      <c r="B83"/>
    </row>
    <row r="84" spans="1:2" ht="15.95" customHeight="1" x14ac:dyDescent="0.2">
      <c r="A84"/>
      <c r="B84"/>
    </row>
    <row r="85" spans="1:2" ht="15.95" customHeight="1" x14ac:dyDescent="0.2">
      <c r="A85"/>
      <c r="B85"/>
    </row>
    <row r="86" spans="1:2" ht="15.95" customHeight="1" x14ac:dyDescent="0.2">
      <c r="A86"/>
      <c r="B86"/>
    </row>
    <row r="87" spans="1:2" ht="15.95" customHeight="1" x14ac:dyDescent="0.2">
      <c r="A87"/>
      <c r="B87"/>
    </row>
    <row r="88" spans="1:2" ht="15.95" customHeight="1" x14ac:dyDescent="0.2">
      <c r="A88"/>
      <c r="B88"/>
    </row>
    <row r="89" spans="1:2" ht="15.95" customHeight="1" x14ac:dyDescent="0.2">
      <c r="A89"/>
      <c r="B89"/>
    </row>
    <row r="90" spans="1:2" ht="15.95" customHeight="1" x14ac:dyDescent="0.2">
      <c r="A90"/>
      <c r="B90"/>
    </row>
    <row r="91" spans="1:2" ht="15.95" customHeight="1" x14ac:dyDescent="0.2">
      <c r="A91"/>
      <c r="B91"/>
    </row>
    <row r="92" spans="1:2" ht="15.95" customHeight="1" x14ac:dyDescent="0.2">
      <c r="A92"/>
      <c r="B92"/>
    </row>
    <row r="93" spans="1:2" ht="15.95" customHeight="1" x14ac:dyDescent="0.2">
      <c r="A93"/>
      <c r="B93"/>
    </row>
    <row r="94" spans="1:2" ht="15.95" customHeight="1" x14ac:dyDescent="0.2">
      <c r="A94"/>
      <c r="B94"/>
    </row>
    <row r="95" spans="1:2" ht="15.95" customHeight="1" x14ac:dyDescent="0.2">
      <c r="A95"/>
      <c r="B95"/>
    </row>
    <row r="96" spans="1:2" ht="15.95" customHeight="1" x14ac:dyDescent="0.2">
      <c r="A96"/>
      <c r="B96"/>
    </row>
    <row r="97" spans="1:2" ht="15.95" customHeight="1" x14ac:dyDescent="0.2">
      <c r="A97"/>
      <c r="B97"/>
    </row>
    <row r="98" spans="1:2" ht="15.95" customHeight="1" x14ac:dyDescent="0.2">
      <c r="A98"/>
      <c r="B98"/>
    </row>
    <row r="99" spans="1:2" ht="15.95" customHeight="1" x14ac:dyDescent="0.2">
      <c r="A99"/>
      <c r="B99"/>
    </row>
  </sheetData>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TotalTime>0</TotalTime>
  <Application>Excel iOS</Application>
  <DocSecurity>0</DocSecurity>
  <ScaleCrop>false</ScaleCrop>
  <HeadingPairs>
    <vt:vector size="2" baseType="variant">
      <vt:variant>
        <vt:lpstr>Arbeitsblätter</vt:lpstr>
      </vt:variant>
      <vt:variant>
        <vt:i4>7</vt:i4>
      </vt:variant>
    </vt:vector>
  </HeadingPairs>
  <TitlesOfParts>
    <vt:vector size="7" baseType="lpstr">
      <vt:lpstr>Übersicht_Vorkultur</vt:lpstr>
      <vt:lpstr>Übersicht_Auspflanzung</vt:lpstr>
      <vt:lpstr>Bepflanzungsschema</vt:lpstr>
      <vt:lpstr>Pflanzenkatalog</vt:lpstr>
      <vt:lpstr>Gefäße_u_Plätze</vt:lpstr>
      <vt:lpstr>Gruppen</vt:lpstr>
      <vt:lpstr>Gießblatt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Rapberger</dc:creator>
  <cp:lastModifiedBy>Administrator Rapberger</cp:lastModifiedBy>
  <cp:lastPrinted>2025-02-12T18:06:05Z</cp:lastPrinted>
  <dcterms:created xsi:type="dcterms:W3CDTF">2023-02-26T14:51:36Z</dcterms:created>
  <dcterms:modified xsi:type="dcterms:W3CDTF">2025-02-14T08:20:13Z</dcterms:modified>
</cp:coreProperties>
</file>